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LITORAL 900\CAJA CHICA\RENDICION DE CAJA CHICA\CAJA CHICA 39 - 2025\"/>
    </mc:Choice>
  </mc:AlternateContent>
  <xr:revisionPtr revIDLastSave="0" documentId="13_ncr:1_{D42C6CA4-118D-4723-85CD-C05C51F1EC58}" xr6:coauthVersionLast="47" xr6:coauthVersionMax="47" xr10:uidLastSave="{00000000-0000-0000-0000-000000000000}"/>
  <bookViews>
    <workbookView xWindow="-120" yWindow="-120" windowWidth="29040" windowHeight="15840" xr2:uid="{26688818-BA1C-476A-9243-650B8D755553}"/>
  </bookViews>
  <sheets>
    <sheet name="CAJA " sheetId="1" r:id="rId1"/>
    <sheet name="Hoja1" sheetId="2" r:id="rId2"/>
  </sheets>
  <definedNames>
    <definedName name="_xlnm._FilterDatabase" localSheetId="0" hidden="1">'CAJA '!$B$12:$J$12</definedName>
    <definedName name="_MailOriginal" localSheetId="0">'CAJA '!$G$65</definedName>
    <definedName name="_xlnm.Print_Area" localSheetId="0">'CAJA '!$A$1:$J$42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E20" i="2" l="1"/>
  <c r="B14" i="1" l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J5" i="1"/>
  <c r="J42" i="1" l="1"/>
</calcChain>
</file>

<file path=xl/sharedStrings.xml><?xml version="1.0" encoding="utf-8"?>
<sst xmlns="http://schemas.openxmlformats.org/spreadsheetml/2006/main" count="145" uniqueCount="86">
  <si>
    <t xml:space="preserve">  </t>
  </si>
  <si>
    <t>INVERSIONES SAURIS S.A.C.</t>
  </si>
  <si>
    <t>RUC: 20606681985</t>
  </si>
  <si>
    <t xml:space="preserve">SALDO ANTERIOR: </t>
  </si>
  <si>
    <t>TOTAL:</t>
  </si>
  <si>
    <t>OBRA : LITORAL 900</t>
  </si>
  <si>
    <t xml:space="preserve">NOMBRE Y APELLIDO : </t>
  </si>
  <si>
    <t xml:space="preserve">LUIS JAVIER VILLA HERMOZA </t>
  </si>
  <si>
    <t>N°</t>
  </si>
  <si>
    <t>FECHA</t>
  </si>
  <si>
    <t>RUC
DNI</t>
  </si>
  <si>
    <t>PROVEEDOR</t>
  </si>
  <si>
    <t>DESCRIPCION DE GASTO</t>
  </si>
  <si>
    <t>PARTIDA 
CONTABLE</t>
  </si>
  <si>
    <t>N° 
DOCUMENTO</t>
  </si>
  <si>
    <t>FACTURA 
 BOLETA 
 OTROS</t>
  </si>
  <si>
    <t>MONTO S/. 
(INC. IGV)</t>
  </si>
  <si>
    <t xml:space="preserve"> </t>
  </si>
  <si>
    <t>SALDO</t>
  </si>
  <si>
    <t>ADMINISTRADOR</t>
  </si>
  <si>
    <t xml:space="preserve">RESIDENTE DE OBRA </t>
  </si>
  <si>
    <t>Nota:</t>
  </si>
  <si>
    <t>La caja chica se usa para compras menores que son urgentes en obra</t>
  </si>
  <si>
    <t>La rendicion de la caja chica, debe estar con el VB de ingeniero residente.</t>
  </si>
  <si>
    <t>Si las facturas a rendir estan afectas a DETRACCION, deben adjuntar la constancia de pago de la detraccion</t>
  </si>
  <si>
    <t>El importe maximo a gastar por movilidad diario es S/ 41 soles.</t>
  </si>
  <si>
    <t>Los comprobantes de compra deben ser FACTURAS ELECTRONICAS (enviar escaneada y su archivo XML)</t>
  </si>
  <si>
    <t>Si rinden gasto con BOLETAS, deben asegurarse que el proveedor este en el regimen RUS</t>
  </si>
  <si>
    <t>FACTURA</t>
  </si>
  <si>
    <t>DAGA&amp;JIMENEZ SAC</t>
  </si>
  <si>
    <t>CAJA - 039</t>
  </si>
  <si>
    <t>FECHA : 09/01/2025</t>
  </si>
  <si>
    <t>MONTO ENTREGADO  :</t>
  </si>
  <si>
    <t>TARUGO VERDE 1/4"</t>
  </si>
  <si>
    <t>F001-188281</t>
  </si>
  <si>
    <t>GALONERAS DE 5 GLN</t>
  </si>
  <si>
    <t>F001-188350</t>
  </si>
  <si>
    <t>ADAPTADOR + TORNILLOS AUTOPERFORANTE</t>
  </si>
  <si>
    <t>F001-188405</t>
  </si>
  <si>
    <t>CABLE HDMI</t>
  </si>
  <si>
    <t>B001-389388</t>
  </si>
  <si>
    <t>BOLETA</t>
  </si>
  <si>
    <t>RODEL PARA CORTADORA DE MAYOLICA</t>
  </si>
  <si>
    <t>F001-187908</t>
  </si>
  <si>
    <t>CLAVOS DE MADERA+BROCA+TEROKAL</t>
  </si>
  <si>
    <t>F001-187629</t>
  </si>
  <si>
    <t>PORTUGAL QUIROZ LUIS MIGUEL</t>
  </si>
  <si>
    <t>PERNO DE EXPANSION+ARANDELA+PERNOS</t>
  </si>
  <si>
    <t>F001-47855</t>
  </si>
  <si>
    <t>LLAVE TIPO JARDIN</t>
  </si>
  <si>
    <t>F001-47748</t>
  </si>
  <si>
    <t>CABLE MELLISO+SOQUETE+ENCHUFE+DESARMADOR</t>
  </si>
  <si>
    <t>F001-47854</t>
  </si>
  <si>
    <t>COESTI SA</t>
  </si>
  <si>
    <t>PETROLEO MANFILT</t>
  </si>
  <si>
    <t>F69V-39764</t>
  </si>
  <si>
    <t>EKONO DRYWALL SAC</t>
  </si>
  <si>
    <t xml:space="preserve">PLANCHA NEGRA+MASILLA+CINTA </t>
  </si>
  <si>
    <t>F001-143448</t>
  </si>
  <si>
    <t>FERRETERIA CHOQUES SCRL</t>
  </si>
  <si>
    <t>CINTA DOBLE CONTACTO</t>
  </si>
  <si>
    <t>F003-39737</t>
  </si>
  <si>
    <t>GONZALES CHANGANAQUE PEDRO ENRIQUE</t>
  </si>
  <si>
    <t>CRUCETA + NIVELADOR</t>
  </si>
  <si>
    <t>FE02-24623</t>
  </si>
  <si>
    <t>ARES PERU SAC</t>
  </si>
  <si>
    <t xml:space="preserve">TAPACANTO </t>
  </si>
  <si>
    <t>F008-1552</t>
  </si>
  <si>
    <t>00256285-</t>
  </si>
  <si>
    <t>LUIS VILLA HERMOZA</t>
  </si>
  <si>
    <t>RECOJO DE PLANCHAS DRYWALL Y MASILLA A OBRA LITORAL</t>
  </si>
  <si>
    <t>PLAN MOV</t>
  </si>
  <si>
    <t xml:space="preserve">COMPRA DE CINTA DOBLE CONTACTO </t>
  </si>
  <si>
    <t xml:space="preserve">RECOJO DE CANALETA FLEXIBLE PLACARED A OBRA </t>
  </si>
  <si>
    <t xml:space="preserve">RECOJO DE MATERIALES SIKA SURCO A OBRA </t>
  </si>
  <si>
    <t>RECOJO DE SOCALOS SAN LUIS A OBRA - MARIO VASQUEZ</t>
  </si>
  <si>
    <t>DHL RECOJO MATERIALES RAMON SOLER-MARIO VASQUEZ</t>
  </si>
  <si>
    <t xml:space="preserve">MOVILIDA RECOJO DE TAPACANTO ARES A OBRA </t>
  </si>
  <si>
    <t>RECOJO DE PLACAS ELECTRICAS VILLA EL SALVADOR A OBRA -MV</t>
  </si>
  <si>
    <t>COCHERA MANFILT DIA 07/01/2026</t>
  </si>
  <si>
    <t>COMPRA DE COMBUSTIBLE PARA MANFILT</t>
  </si>
  <si>
    <t>ENVIO DE INFORMACION CONTABLE A OFICINA CENTRAL</t>
  </si>
  <si>
    <t>CAJA 38</t>
  </si>
  <si>
    <t>09957872-</t>
  </si>
  <si>
    <t>LUIS CASTILLO</t>
  </si>
  <si>
    <t>MOVILIDAD RAKC DE BICILETAS - SOLICITADO POR MARIO VASUEZ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</si>
</sst>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rial Narrow"/>
      <family val="2"/>
    </font>
    <font>
      <b/>
      <sz val="8"/>
      <color theme="0"/>
      <name val="Arial Narrow"/>
      <family val="2"/>
    </font>
    <font>
      <b/>
      <sz val="8"/>
      <name val="Arial Narrow"/>
      <family val="2"/>
    </font>
    <font>
      <sz val="8"/>
      <color theme="0"/>
      <name val="Arial Narrow"/>
      <family val="2"/>
    </font>
    <font>
      <sz val="8"/>
      <color theme="1"/>
      <name val="Arial Narrow"/>
      <family val="2"/>
    </font>
    <font>
      <sz val="8"/>
      <color rgb="FF1F497D"/>
      <name val="Arial Narrow"/>
      <family val="2"/>
    </font>
    <font>
      <b/>
      <sz val="8"/>
      <color rgb="FF1F497D"/>
      <name val="Arial Narrow"/>
      <family val="2"/>
    </font>
    <font>
      <u/>
      <sz val="8"/>
      <color theme="10"/>
      <name val="Arial Narrow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b/>
      <u/>
      <sz val="8"/>
      <name val="Arial Narrow"/>
      <family val="2"/>
    </font>
    <font>
      <i/>
      <sz val="8"/>
      <name val="Arial Narrow"/>
      <family val="2"/>
    </font>
    <font>
      <b/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</cellStyleXfs>
  <cellXfs count="63">
    <xf numFmtId="0" fontId="0" fillId="0" borderId="0" xfId="0"/>
    <xf numFmtId="0" fontId="4" fillId="2" borderId="0" xfId="0" applyFont="1" applyFill="1"/>
    <xf numFmtId="1" fontId="4" fillId="2" borderId="0" xfId="0" applyNumberFormat="1" applyFont="1" applyFill="1" applyAlignment="1">
      <alignment horizontal="center" wrapText="1"/>
    </xf>
    <xf numFmtId="164" fontId="4" fillId="2" borderId="0" xfId="1" applyFont="1" applyFill="1" applyAlignment="1">
      <alignment horizontal="right" vertical="center"/>
    </xf>
    <xf numFmtId="1" fontId="4" fillId="2" borderId="0" xfId="0" applyNumberFormat="1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right"/>
    </xf>
    <xf numFmtId="14" fontId="6" fillId="2" borderId="0" xfId="0" applyNumberFormat="1" applyFont="1" applyFill="1" applyAlignment="1">
      <alignment horizontal="right" vertical="center"/>
    </xf>
    <xf numFmtId="164" fontId="4" fillId="2" borderId="0" xfId="1" applyFont="1" applyFill="1" applyBorder="1" applyAlignment="1">
      <alignment horizontal="right" vertical="center"/>
    </xf>
    <xf numFmtId="0" fontId="6" fillId="2" borderId="0" xfId="2" applyFont="1" applyFill="1"/>
    <xf numFmtId="1" fontId="6" fillId="2" borderId="0" xfId="2" applyNumberFormat="1" applyFont="1" applyFill="1" applyAlignment="1">
      <alignment horizontal="center" wrapText="1"/>
    </xf>
    <xf numFmtId="2" fontId="7" fillId="2" borderId="0" xfId="0" applyNumberFormat="1" applyFont="1" applyFill="1" applyAlignment="1">
      <alignment horizontal="right"/>
    </xf>
    <xf numFmtId="2" fontId="4" fillId="2" borderId="0" xfId="0" applyNumberFormat="1" applyFont="1" applyFill="1" applyAlignment="1">
      <alignment horizontal="right" vertical="center"/>
    </xf>
    <xf numFmtId="164" fontId="4" fillId="2" borderId="1" xfId="1" applyFont="1" applyFill="1" applyBorder="1" applyAlignment="1">
      <alignment horizontal="right" vertical="center"/>
    </xf>
    <xf numFmtId="2" fontId="6" fillId="2" borderId="0" xfId="0" applyNumberFormat="1" applyFont="1" applyFill="1" applyAlignment="1">
      <alignment horizontal="right" vertical="center"/>
    </xf>
    <xf numFmtId="164" fontId="6" fillId="2" borderId="1" xfId="1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vertical="center" wrapText="1"/>
    </xf>
    <xf numFmtId="14" fontId="4" fillId="2" borderId="0" xfId="0" applyNumberFormat="1" applyFont="1" applyFill="1" applyAlignment="1">
      <alignment horizontal="center" vertical="center" wrapText="1"/>
    </xf>
    <xf numFmtId="14" fontId="4" fillId="2" borderId="0" xfId="0" applyNumberFormat="1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6" fillId="2" borderId="0" xfId="0" applyFont="1" applyFill="1"/>
    <xf numFmtId="0" fontId="12" fillId="2" borderId="0" xfId="0" applyFont="1" applyFill="1"/>
    <xf numFmtId="164" fontId="4" fillId="2" borderId="0" xfId="1" applyFont="1" applyFill="1" applyBorder="1" applyAlignment="1">
      <alignment horizontal="right" vertical="center" wrapText="1"/>
    </xf>
    <xf numFmtId="2" fontId="4" fillId="2" borderId="0" xfId="0" applyNumberFormat="1" applyFont="1" applyFill="1"/>
    <xf numFmtId="0" fontId="4" fillId="2" borderId="3" xfId="0" applyFont="1" applyFill="1" applyBorder="1"/>
    <xf numFmtId="16" fontId="4" fillId="2" borderId="0" xfId="0" applyNumberFormat="1" applyFont="1" applyFill="1"/>
    <xf numFmtId="0" fontId="8" fillId="2" borderId="0" xfId="0" applyFont="1" applyFill="1" applyAlignment="1">
      <alignment vertical="center" wrapText="1"/>
    </xf>
    <xf numFmtId="0" fontId="8" fillId="2" borderId="0" xfId="0" applyFont="1" applyFill="1"/>
    <xf numFmtId="164" fontId="4" fillId="2" borderId="0" xfId="1" applyFont="1" applyFill="1" applyAlignment="1">
      <alignment horizontal="right"/>
    </xf>
    <xf numFmtId="0" fontId="9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indent="5"/>
    </xf>
    <xf numFmtId="0" fontId="4" fillId="2" borderId="0" xfId="0" applyFont="1" applyFill="1" applyAlignment="1">
      <alignment horizontal="left" vertical="center" indent="5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/>
    </xf>
    <xf numFmtId="0" fontId="11" fillId="2" borderId="0" xfId="3" applyFont="1" applyFill="1" applyAlignment="1">
      <alignment vertical="center" wrapText="1"/>
    </xf>
    <xf numFmtId="0" fontId="14" fillId="2" borderId="0" xfId="0" applyFont="1" applyFill="1"/>
    <xf numFmtId="1" fontId="15" fillId="2" borderId="0" xfId="0" applyNumberFormat="1" applyFont="1" applyFill="1" applyAlignment="1">
      <alignment horizontal="left" vertical="center"/>
    </xf>
    <xf numFmtId="0" fontId="15" fillId="2" borderId="0" xfId="0" applyFont="1" applyFill="1"/>
    <xf numFmtId="0" fontId="15" fillId="2" borderId="0" xfId="0" applyFont="1" applyFill="1" applyAlignment="1">
      <alignment horizontal="left"/>
    </xf>
    <xf numFmtId="0" fontId="4" fillId="0" borderId="0" xfId="0" applyFont="1"/>
    <xf numFmtId="0" fontId="6" fillId="3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164" fontId="6" fillId="3" borderId="1" xfId="1" applyFont="1" applyFill="1" applyBorder="1" applyAlignment="1">
      <alignment horizontal="center" vertical="center" wrapText="1"/>
    </xf>
    <xf numFmtId="0" fontId="6" fillId="3" borderId="0" xfId="0" applyFont="1" applyFill="1"/>
    <xf numFmtId="0" fontId="4" fillId="3" borderId="0" xfId="0" applyFont="1" applyFill="1"/>
    <xf numFmtId="49" fontId="6" fillId="3" borderId="2" xfId="0" applyNumberFormat="1" applyFont="1" applyFill="1" applyBorder="1" applyAlignment="1">
      <alignment horizontal="center" vertical="center" wrapText="1"/>
    </xf>
    <xf numFmtId="164" fontId="6" fillId="3" borderId="2" xfId="1" applyFont="1" applyFill="1" applyBorder="1" applyAlignment="1">
      <alignment horizontal="right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4" fontId="4" fillId="0" borderId="1" xfId="1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 wrapText="1"/>
    </xf>
    <xf numFmtId="164" fontId="6" fillId="4" borderId="1" xfId="1" applyFont="1" applyFill="1" applyBorder="1" applyAlignment="1">
      <alignment horizontal="right" vertical="center" wrapText="1"/>
    </xf>
  </cellXfs>
  <cellStyles count="4">
    <cellStyle name="Hipervínculo" xfId="3" builtinId="8"/>
    <cellStyle name="Millares" xfId="1" builtinId="3"/>
    <cellStyle name="Normal" xfId="0" builtinId="0"/>
    <cellStyle name="Normal 2" xfId="2" xr:uid="{5B358F6C-92C3-41D2-BEAF-E9B89DD04F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493D-E7D4-465D-A62D-C8D6A198D05E}">
  <dimension ref="B1:N79"/>
  <sheetViews>
    <sheetView tabSelected="1" topLeftCell="A34" zoomScale="160" zoomScaleNormal="160" zoomScaleSheetLayoutView="140" workbookViewId="0">
      <selection activeCell="J42" sqref="J42"/>
    </sheetView>
  </sheetViews>
  <sheetFormatPr baseColWidth="10" defaultColWidth="11.42578125" defaultRowHeight="12.75" x14ac:dyDescent="0.25"/>
  <cols>
    <col min="1" max="1" width="1.42578125" style="1" customWidth="1"/>
    <col min="2" max="2" width="2.5703125" style="1" bestFit="1" customWidth="1"/>
    <col min="3" max="3" width="9.140625" style="1" customWidth="1"/>
    <col min="4" max="4" width="8.85546875" style="1" bestFit="1" customWidth="1"/>
    <col min="5" max="5" width="37.140625" style="1" customWidth="1"/>
    <col min="6" max="6" width="44.140625" style="1" customWidth="1"/>
    <col min="7" max="7" width="11" style="2" customWidth="1"/>
    <col min="8" max="8" width="11.85546875" style="1" customWidth="1"/>
    <col min="9" max="9" width="8.85546875" style="1" customWidth="1"/>
    <col min="10" max="10" width="10" style="3" customWidth="1"/>
    <col min="11" max="13" width="11.42578125" style="1"/>
    <col min="14" max="14" width="19.5703125" style="1" bestFit="1" customWidth="1"/>
    <col min="15" max="16384" width="11.42578125" style="1"/>
  </cols>
  <sheetData>
    <row r="1" spans="2:11" ht="5.25" customHeight="1" x14ac:dyDescent="0.25">
      <c r="B1" s="1" t="s">
        <v>0</v>
      </c>
    </row>
    <row r="2" spans="2:11" ht="15.75" x14ac:dyDescent="0.25">
      <c r="C2" s="23" t="s">
        <v>1</v>
      </c>
      <c r="D2" s="23"/>
      <c r="H2" s="5"/>
      <c r="I2" s="6"/>
      <c r="J2" s="7"/>
    </row>
    <row r="3" spans="2:11" s="8" customFormat="1" x14ac:dyDescent="0.25">
      <c r="C3" s="8" t="s">
        <v>2</v>
      </c>
      <c r="G3" s="9"/>
      <c r="H3" s="10"/>
      <c r="I3" s="11" t="s">
        <v>32</v>
      </c>
      <c r="J3" s="12">
        <v>1500</v>
      </c>
    </row>
    <row r="4" spans="2:11" ht="19.5" customHeight="1" x14ac:dyDescent="0.25">
      <c r="B4" s="8"/>
      <c r="C4" s="61" t="s">
        <v>31</v>
      </c>
      <c r="D4" s="61"/>
      <c r="G4" s="2" t="s">
        <v>82</v>
      </c>
      <c r="H4" s="10"/>
      <c r="I4" s="11" t="s">
        <v>3</v>
      </c>
      <c r="J4" s="12">
        <v>7.95</v>
      </c>
      <c r="K4" s="58"/>
    </row>
    <row r="5" spans="2:11" x14ac:dyDescent="0.25">
      <c r="B5" s="8"/>
      <c r="H5" s="10"/>
      <c r="I5" s="13" t="s">
        <v>4</v>
      </c>
      <c r="J5" s="14">
        <f>SUM(J3:J4)</f>
        <v>1507.95</v>
      </c>
    </row>
    <row r="6" spans="2:11" ht="15.75" x14ac:dyDescent="0.25">
      <c r="B6" s="59" t="s">
        <v>30</v>
      </c>
      <c r="C6" s="59"/>
      <c r="D6" s="59"/>
      <c r="E6" s="59"/>
      <c r="F6" s="59"/>
      <c r="G6" s="59"/>
      <c r="H6" s="59"/>
      <c r="I6" s="59"/>
      <c r="J6" s="59"/>
    </row>
    <row r="7" spans="2:11" ht="7.5" customHeight="1" x14ac:dyDescent="0.25">
      <c r="B7" s="15"/>
      <c r="C7" s="15"/>
      <c r="D7" s="15"/>
      <c r="E7" s="15"/>
      <c r="F7" s="15"/>
      <c r="G7" s="15"/>
      <c r="H7" s="15"/>
      <c r="I7" s="15"/>
      <c r="J7" s="15"/>
    </row>
    <row r="8" spans="2:11" x14ac:dyDescent="0.25">
      <c r="B8" s="60" t="s">
        <v>5</v>
      </c>
      <c r="C8" s="60"/>
      <c r="D8" s="60"/>
      <c r="E8" s="60"/>
      <c r="F8" s="60"/>
      <c r="G8" s="60"/>
      <c r="H8" s="60"/>
      <c r="I8" s="60"/>
      <c r="J8" s="60"/>
    </row>
    <row r="9" spans="2:11" x14ac:dyDescent="0.25">
      <c r="B9" s="1" t="s">
        <v>6</v>
      </c>
      <c r="E9" s="22"/>
      <c r="F9" s="22"/>
      <c r="G9" s="22"/>
      <c r="H9" s="22"/>
      <c r="I9" s="22"/>
      <c r="J9" s="22"/>
    </row>
    <row r="10" spans="2:11" x14ac:dyDescent="0.25">
      <c r="B10" s="46" t="s">
        <v>7</v>
      </c>
      <c r="C10" s="47"/>
      <c r="D10" s="47"/>
      <c r="E10" s="47"/>
      <c r="F10" s="16"/>
    </row>
    <row r="11" spans="2:11" ht="13.9" customHeight="1" x14ac:dyDescent="0.25"/>
    <row r="12" spans="2:11" s="21" customFormat="1" ht="38.25" x14ac:dyDescent="0.25">
      <c r="B12" s="43" t="s">
        <v>8</v>
      </c>
      <c r="C12" s="43" t="s">
        <v>9</v>
      </c>
      <c r="D12" s="43" t="s">
        <v>10</v>
      </c>
      <c r="E12" s="43" t="s">
        <v>11</v>
      </c>
      <c r="F12" s="43" t="s">
        <v>12</v>
      </c>
      <c r="G12" s="44" t="s">
        <v>13</v>
      </c>
      <c r="H12" s="43" t="s">
        <v>14</v>
      </c>
      <c r="I12" s="43" t="s">
        <v>15</v>
      </c>
      <c r="J12" s="45" t="s">
        <v>16</v>
      </c>
    </row>
    <row r="13" spans="2:11" s="21" customFormat="1" ht="12.95" customHeight="1" x14ac:dyDescent="0.25">
      <c r="B13" s="53">
        <v>1</v>
      </c>
      <c r="C13" s="54">
        <v>46030</v>
      </c>
      <c r="D13" s="53">
        <v>20506510539</v>
      </c>
      <c r="E13" s="55" t="s">
        <v>29</v>
      </c>
      <c r="F13" s="55" t="s">
        <v>33</v>
      </c>
      <c r="G13" s="56">
        <v>234090502</v>
      </c>
      <c r="H13" s="53" t="s">
        <v>34</v>
      </c>
      <c r="I13" s="53" t="s">
        <v>28</v>
      </c>
      <c r="J13" s="57">
        <v>18</v>
      </c>
    </row>
    <row r="14" spans="2:11" s="21" customFormat="1" ht="12.95" customHeight="1" x14ac:dyDescent="0.25">
      <c r="B14" s="53">
        <f>B13+1</f>
        <v>2</v>
      </c>
      <c r="C14" s="54">
        <v>46031</v>
      </c>
      <c r="D14" s="53">
        <v>20506510539</v>
      </c>
      <c r="E14" s="55" t="s">
        <v>29</v>
      </c>
      <c r="F14" s="55" t="s">
        <v>35</v>
      </c>
      <c r="G14" s="56">
        <v>234040109</v>
      </c>
      <c r="H14" s="53" t="s">
        <v>36</v>
      </c>
      <c r="I14" s="53" t="s">
        <v>28</v>
      </c>
      <c r="J14" s="57">
        <v>22</v>
      </c>
    </row>
    <row r="15" spans="2:11" s="21" customFormat="1" ht="12.95" customHeight="1" x14ac:dyDescent="0.25">
      <c r="B15" s="53">
        <f t="shared" ref="B15:B40" si="0">B14+1</f>
        <v>3</v>
      </c>
      <c r="C15" s="54">
        <v>46031</v>
      </c>
      <c r="D15" s="53">
        <v>20506510539</v>
      </c>
      <c r="E15" s="55" t="s">
        <v>29</v>
      </c>
      <c r="F15" s="55" t="s">
        <v>37</v>
      </c>
      <c r="G15" s="56">
        <v>234071102</v>
      </c>
      <c r="H15" s="53" t="s">
        <v>38</v>
      </c>
      <c r="I15" s="53" t="s">
        <v>28</v>
      </c>
      <c r="J15" s="57">
        <v>12.5</v>
      </c>
    </row>
    <row r="16" spans="2:11" s="21" customFormat="1" ht="12.95" customHeight="1" x14ac:dyDescent="0.25">
      <c r="B16" s="53">
        <f t="shared" si="0"/>
        <v>4</v>
      </c>
      <c r="C16" s="54">
        <v>46027</v>
      </c>
      <c r="D16" s="53">
        <v>20506510539</v>
      </c>
      <c r="E16" s="55" t="s">
        <v>29</v>
      </c>
      <c r="F16" s="55" t="s">
        <v>39</v>
      </c>
      <c r="G16" s="56">
        <v>234120208</v>
      </c>
      <c r="H16" s="53" t="s">
        <v>40</v>
      </c>
      <c r="I16" s="53" t="s">
        <v>41</v>
      </c>
      <c r="J16" s="57">
        <v>24</v>
      </c>
    </row>
    <row r="17" spans="2:10" s="21" customFormat="1" ht="12.95" customHeight="1" x14ac:dyDescent="0.25">
      <c r="B17" s="53">
        <f t="shared" si="0"/>
        <v>5</v>
      </c>
      <c r="C17" s="54">
        <v>46027</v>
      </c>
      <c r="D17" s="53">
        <v>20506510539</v>
      </c>
      <c r="E17" s="55" t="s">
        <v>29</v>
      </c>
      <c r="F17" s="55" t="s">
        <v>42</v>
      </c>
      <c r="G17" s="56">
        <v>234070402</v>
      </c>
      <c r="H17" s="53" t="s">
        <v>43</v>
      </c>
      <c r="I17" s="53" t="s">
        <v>28</v>
      </c>
      <c r="J17" s="57">
        <v>79</v>
      </c>
    </row>
    <row r="18" spans="2:10" s="21" customFormat="1" ht="12.95" customHeight="1" x14ac:dyDescent="0.25">
      <c r="B18" s="53">
        <f t="shared" si="0"/>
        <v>6</v>
      </c>
      <c r="C18" s="54">
        <v>46022</v>
      </c>
      <c r="D18" s="53">
        <v>20506510539</v>
      </c>
      <c r="E18" s="55" t="s">
        <v>29</v>
      </c>
      <c r="F18" s="55" t="s">
        <v>44</v>
      </c>
      <c r="G18" s="56">
        <v>234073202</v>
      </c>
      <c r="H18" s="53" t="s">
        <v>45</v>
      </c>
      <c r="I18" s="53" t="s">
        <v>28</v>
      </c>
      <c r="J18" s="57">
        <v>186</v>
      </c>
    </row>
    <row r="19" spans="2:10" s="21" customFormat="1" ht="12.95" customHeight="1" x14ac:dyDescent="0.25">
      <c r="B19" s="53">
        <f t="shared" si="0"/>
        <v>7</v>
      </c>
      <c r="C19" s="54">
        <v>46031</v>
      </c>
      <c r="D19" s="53">
        <v>10078452833</v>
      </c>
      <c r="E19" s="55" t="s">
        <v>46</v>
      </c>
      <c r="F19" s="55" t="s">
        <v>47</v>
      </c>
      <c r="G19" s="56">
        <v>234071102</v>
      </c>
      <c r="H19" s="53" t="s">
        <v>48</v>
      </c>
      <c r="I19" s="53" t="s">
        <v>28</v>
      </c>
      <c r="J19" s="57">
        <v>132</v>
      </c>
    </row>
    <row r="20" spans="2:10" s="21" customFormat="1" ht="12.95" customHeight="1" x14ac:dyDescent="0.25">
      <c r="B20" s="53">
        <f t="shared" si="0"/>
        <v>8</v>
      </c>
      <c r="C20" s="54">
        <v>46024</v>
      </c>
      <c r="D20" s="53">
        <v>10078452833</v>
      </c>
      <c r="E20" s="55" t="s">
        <v>46</v>
      </c>
      <c r="F20" s="55" t="s">
        <v>49</v>
      </c>
      <c r="G20" s="56">
        <v>234040109</v>
      </c>
      <c r="H20" s="53" t="s">
        <v>50</v>
      </c>
      <c r="I20" s="53" t="s">
        <v>28</v>
      </c>
      <c r="J20" s="57">
        <v>40</v>
      </c>
    </row>
    <row r="21" spans="2:10" s="21" customFormat="1" ht="12.95" customHeight="1" x14ac:dyDescent="0.25">
      <c r="B21" s="53">
        <f t="shared" si="0"/>
        <v>9</v>
      </c>
      <c r="C21" s="54">
        <v>46031</v>
      </c>
      <c r="D21" s="53">
        <v>10078452833</v>
      </c>
      <c r="E21" s="55" t="s">
        <v>46</v>
      </c>
      <c r="F21" s="55" t="s">
        <v>51</v>
      </c>
      <c r="G21" s="56">
        <v>234040104</v>
      </c>
      <c r="H21" s="53" t="s">
        <v>52</v>
      </c>
      <c r="I21" s="53" t="s">
        <v>28</v>
      </c>
      <c r="J21" s="57">
        <v>72.5</v>
      </c>
    </row>
    <row r="22" spans="2:10" s="21" customFormat="1" ht="12.95" customHeight="1" x14ac:dyDescent="0.25">
      <c r="B22" s="53">
        <f t="shared" si="0"/>
        <v>10</v>
      </c>
      <c r="C22" s="54">
        <v>46031</v>
      </c>
      <c r="D22" s="53">
        <v>20127765279</v>
      </c>
      <c r="E22" s="55" t="s">
        <v>53</v>
      </c>
      <c r="F22" s="55" t="s">
        <v>54</v>
      </c>
      <c r="G22" s="56">
        <v>234072803</v>
      </c>
      <c r="H22" s="53" t="s">
        <v>55</v>
      </c>
      <c r="I22" s="53" t="s">
        <v>28</v>
      </c>
      <c r="J22" s="57">
        <v>172.7</v>
      </c>
    </row>
    <row r="23" spans="2:10" s="21" customFormat="1" ht="12.95" customHeight="1" x14ac:dyDescent="0.25">
      <c r="B23" s="53">
        <f t="shared" si="0"/>
        <v>11</v>
      </c>
      <c r="C23" s="54">
        <v>46024</v>
      </c>
      <c r="D23" s="53">
        <v>20509182974</v>
      </c>
      <c r="E23" s="55" t="s">
        <v>56</v>
      </c>
      <c r="F23" s="55" t="s">
        <v>57</v>
      </c>
      <c r="G23" s="56">
        <v>234070302</v>
      </c>
      <c r="H23" s="53" t="s">
        <v>58</v>
      </c>
      <c r="I23" s="53" t="s">
        <v>28</v>
      </c>
      <c r="J23" s="57">
        <v>497.89</v>
      </c>
    </row>
    <row r="24" spans="2:10" s="21" customFormat="1" ht="12.95" customHeight="1" x14ac:dyDescent="0.25">
      <c r="B24" s="53">
        <f t="shared" si="0"/>
        <v>12</v>
      </c>
      <c r="C24" s="54">
        <v>46024</v>
      </c>
      <c r="D24" s="53">
        <v>20606681985</v>
      </c>
      <c r="E24" s="55" t="s">
        <v>59</v>
      </c>
      <c r="F24" s="55" t="s">
        <v>60</v>
      </c>
      <c r="G24" s="56">
        <v>234071702</v>
      </c>
      <c r="H24" s="53" t="s">
        <v>61</v>
      </c>
      <c r="I24" s="53" t="s">
        <v>28</v>
      </c>
      <c r="J24" s="57">
        <v>115</v>
      </c>
    </row>
    <row r="25" spans="2:10" s="21" customFormat="1" ht="12.95" customHeight="1" x14ac:dyDescent="0.25">
      <c r="B25" s="53">
        <f t="shared" si="0"/>
        <v>13</v>
      </c>
      <c r="C25" s="54">
        <v>46029</v>
      </c>
      <c r="D25" s="53">
        <v>10409428911</v>
      </c>
      <c r="E25" s="55" t="s">
        <v>62</v>
      </c>
      <c r="F25" s="55" t="s">
        <v>63</v>
      </c>
      <c r="G25" s="56">
        <v>234072802</v>
      </c>
      <c r="H25" s="53" t="s">
        <v>64</v>
      </c>
      <c r="I25" s="53" t="s">
        <v>28</v>
      </c>
      <c r="J25" s="57">
        <v>117</v>
      </c>
    </row>
    <row r="26" spans="2:10" s="21" customFormat="1" ht="12.95" customHeight="1" x14ac:dyDescent="0.25">
      <c r="B26" s="53">
        <f t="shared" si="0"/>
        <v>14</v>
      </c>
      <c r="C26" s="54">
        <v>46028</v>
      </c>
      <c r="D26" s="53">
        <v>20504169848</v>
      </c>
      <c r="E26" s="55" t="s">
        <v>65</v>
      </c>
      <c r="F26" s="55" t="s">
        <v>66</v>
      </c>
      <c r="G26" s="56">
        <v>234070602</v>
      </c>
      <c r="H26" s="53" t="s">
        <v>67</v>
      </c>
      <c r="I26" s="53" t="s">
        <v>28</v>
      </c>
      <c r="J26" s="57">
        <v>35.880000000000003</v>
      </c>
    </row>
    <row r="27" spans="2:10" s="21" customFormat="1" ht="12.95" customHeight="1" x14ac:dyDescent="0.25">
      <c r="B27" s="53">
        <f t="shared" si="0"/>
        <v>15</v>
      </c>
      <c r="C27" s="54">
        <v>46025</v>
      </c>
      <c r="D27" s="53" t="s">
        <v>68</v>
      </c>
      <c r="E27" s="55" t="s">
        <v>69</v>
      </c>
      <c r="F27" s="55" t="s">
        <v>70</v>
      </c>
      <c r="G27" s="56">
        <v>234040109</v>
      </c>
      <c r="H27" s="53">
        <v>2283</v>
      </c>
      <c r="I27" s="53" t="s">
        <v>71</v>
      </c>
      <c r="J27" s="57">
        <v>45</v>
      </c>
    </row>
    <row r="28" spans="2:10" s="21" customFormat="1" ht="12.95" customHeight="1" x14ac:dyDescent="0.25">
      <c r="B28" s="53">
        <f t="shared" si="0"/>
        <v>16</v>
      </c>
      <c r="C28" s="54">
        <v>46024</v>
      </c>
      <c r="D28" s="53" t="s">
        <v>68</v>
      </c>
      <c r="E28" s="55" t="s">
        <v>69</v>
      </c>
      <c r="F28" s="55" t="s">
        <v>72</v>
      </c>
      <c r="G28" s="56">
        <v>234040109</v>
      </c>
      <c r="H28" s="53">
        <v>2282</v>
      </c>
      <c r="I28" s="53" t="s">
        <v>71</v>
      </c>
      <c r="J28" s="57">
        <v>10</v>
      </c>
    </row>
    <row r="29" spans="2:10" s="21" customFormat="1" ht="12.95" customHeight="1" x14ac:dyDescent="0.25">
      <c r="B29" s="53">
        <f t="shared" si="0"/>
        <v>17</v>
      </c>
      <c r="C29" s="54">
        <v>46020</v>
      </c>
      <c r="D29" s="53" t="s">
        <v>68</v>
      </c>
      <c r="E29" s="55" t="s">
        <v>69</v>
      </c>
      <c r="F29" s="55" t="s">
        <v>73</v>
      </c>
      <c r="G29" s="56">
        <v>234040109</v>
      </c>
      <c r="H29" s="53">
        <v>2281</v>
      </c>
      <c r="I29" s="53" t="s">
        <v>71</v>
      </c>
      <c r="J29" s="57">
        <v>40</v>
      </c>
    </row>
    <row r="30" spans="2:10" s="21" customFormat="1" ht="12.95" customHeight="1" x14ac:dyDescent="0.25">
      <c r="B30" s="53">
        <f t="shared" si="0"/>
        <v>18</v>
      </c>
      <c r="C30" s="54">
        <v>46021</v>
      </c>
      <c r="D30" s="53" t="s">
        <v>68</v>
      </c>
      <c r="E30" s="55" t="s">
        <v>69</v>
      </c>
      <c r="F30" s="55" t="s">
        <v>74</v>
      </c>
      <c r="G30" s="56">
        <v>234040109</v>
      </c>
      <c r="H30" s="53">
        <v>2280</v>
      </c>
      <c r="I30" s="53" t="s">
        <v>71</v>
      </c>
      <c r="J30" s="57">
        <v>24.6</v>
      </c>
    </row>
    <row r="31" spans="2:10" s="21" customFormat="1" ht="12.95" customHeight="1" x14ac:dyDescent="0.25">
      <c r="B31" s="53">
        <f t="shared" si="0"/>
        <v>19</v>
      </c>
      <c r="C31" s="54">
        <v>46024</v>
      </c>
      <c r="D31" s="53" t="s">
        <v>68</v>
      </c>
      <c r="E31" s="55" t="s">
        <v>69</v>
      </c>
      <c r="F31" s="55" t="s">
        <v>75</v>
      </c>
      <c r="G31" s="56">
        <v>234040109</v>
      </c>
      <c r="H31" s="53">
        <v>2279</v>
      </c>
      <c r="I31" s="53" t="s">
        <v>71</v>
      </c>
      <c r="J31" s="57">
        <v>30</v>
      </c>
    </row>
    <row r="32" spans="2:10" s="21" customFormat="1" ht="12.95" customHeight="1" x14ac:dyDescent="0.25">
      <c r="B32" s="53">
        <f t="shared" si="0"/>
        <v>20</v>
      </c>
      <c r="C32" s="54">
        <v>46023</v>
      </c>
      <c r="D32" s="53" t="s">
        <v>68</v>
      </c>
      <c r="E32" s="55" t="s">
        <v>69</v>
      </c>
      <c r="F32" s="55" t="s">
        <v>75</v>
      </c>
      <c r="G32" s="56">
        <v>234040109</v>
      </c>
      <c r="H32" s="53">
        <v>2278</v>
      </c>
      <c r="I32" s="53" t="s">
        <v>71</v>
      </c>
      <c r="J32" s="57">
        <v>30</v>
      </c>
    </row>
    <row r="33" spans="2:14" s="21" customFormat="1" ht="12.95" customHeight="1" x14ac:dyDescent="0.25">
      <c r="B33" s="53">
        <f t="shared" si="0"/>
        <v>21</v>
      </c>
      <c r="C33" s="54">
        <v>46027</v>
      </c>
      <c r="D33" s="53" t="s">
        <v>68</v>
      </c>
      <c r="E33" s="55" t="s">
        <v>69</v>
      </c>
      <c r="F33" s="55" t="s">
        <v>76</v>
      </c>
      <c r="G33" s="56">
        <v>234040109</v>
      </c>
      <c r="H33" s="53">
        <v>2277</v>
      </c>
      <c r="I33" s="53" t="s">
        <v>71</v>
      </c>
      <c r="J33" s="57">
        <v>41.75</v>
      </c>
    </row>
    <row r="34" spans="2:14" s="21" customFormat="1" ht="12.95" customHeight="1" x14ac:dyDescent="0.25">
      <c r="B34" s="53">
        <f t="shared" si="0"/>
        <v>22</v>
      </c>
      <c r="C34" s="54">
        <v>45665</v>
      </c>
      <c r="D34" s="53" t="s">
        <v>68</v>
      </c>
      <c r="E34" s="55" t="s">
        <v>69</v>
      </c>
      <c r="F34" s="55" t="s">
        <v>77</v>
      </c>
      <c r="G34" s="56">
        <v>234040109</v>
      </c>
      <c r="H34" s="53">
        <v>2276</v>
      </c>
      <c r="I34" s="53" t="s">
        <v>71</v>
      </c>
      <c r="J34" s="57">
        <v>8</v>
      </c>
    </row>
    <row r="35" spans="2:14" s="21" customFormat="1" ht="12.95" customHeight="1" x14ac:dyDescent="0.25">
      <c r="B35" s="53">
        <f t="shared" si="0"/>
        <v>23</v>
      </c>
      <c r="C35" s="54">
        <v>46031</v>
      </c>
      <c r="D35" s="53" t="s">
        <v>68</v>
      </c>
      <c r="E35" s="55" t="s">
        <v>69</v>
      </c>
      <c r="F35" s="55" t="s">
        <v>78</v>
      </c>
      <c r="G35" s="56">
        <v>234040109</v>
      </c>
      <c r="H35" s="53">
        <v>2275</v>
      </c>
      <c r="I35" s="53" t="s">
        <v>71</v>
      </c>
      <c r="J35" s="57">
        <v>35</v>
      </c>
    </row>
    <row r="36" spans="2:14" s="21" customFormat="1" ht="12.95" customHeight="1" x14ac:dyDescent="0.25">
      <c r="B36" s="53">
        <f t="shared" si="0"/>
        <v>24</v>
      </c>
      <c r="C36" s="54">
        <v>45663</v>
      </c>
      <c r="D36" s="53" t="s">
        <v>68</v>
      </c>
      <c r="E36" s="55" t="s">
        <v>69</v>
      </c>
      <c r="F36" s="55" t="s">
        <v>79</v>
      </c>
      <c r="G36" s="56">
        <v>234040109</v>
      </c>
      <c r="H36" s="53">
        <v>2274</v>
      </c>
      <c r="I36" s="53" t="s">
        <v>71</v>
      </c>
      <c r="J36" s="57">
        <v>30</v>
      </c>
    </row>
    <row r="37" spans="2:14" s="21" customFormat="1" ht="12.95" customHeight="1" x14ac:dyDescent="0.25">
      <c r="B37" s="53">
        <f t="shared" si="0"/>
        <v>25</v>
      </c>
      <c r="C37" s="54">
        <v>45664</v>
      </c>
      <c r="D37" s="53" t="s">
        <v>68</v>
      </c>
      <c r="E37" s="55" t="s">
        <v>69</v>
      </c>
      <c r="F37" s="55" t="s">
        <v>79</v>
      </c>
      <c r="G37" s="56">
        <v>234040109</v>
      </c>
      <c r="H37" s="53">
        <v>2273</v>
      </c>
      <c r="I37" s="53" t="s">
        <v>71</v>
      </c>
      <c r="J37" s="57">
        <v>30</v>
      </c>
    </row>
    <row r="38" spans="2:14" s="21" customFormat="1" ht="12.95" customHeight="1" x14ac:dyDescent="0.25">
      <c r="B38" s="53">
        <f t="shared" si="0"/>
        <v>26</v>
      </c>
      <c r="C38" s="54">
        <v>45666</v>
      </c>
      <c r="D38" s="53" t="s">
        <v>68</v>
      </c>
      <c r="E38" s="55" t="s">
        <v>69</v>
      </c>
      <c r="F38" s="55" t="s">
        <v>80</v>
      </c>
      <c r="G38" s="56">
        <v>234040109</v>
      </c>
      <c r="H38" s="53">
        <v>2272</v>
      </c>
      <c r="I38" s="53" t="s">
        <v>71</v>
      </c>
      <c r="J38" s="57">
        <v>6</v>
      </c>
    </row>
    <row r="39" spans="2:14" s="21" customFormat="1" ht="12.95" customHeight="1" x14ac:dyDescent="0.25">
      <c r="B39" s="53">
        <f t="shared" si="0"/>
        <v>27</v>
      </c>
      <c r="C39" s="54">
        <v>46027</v>
      </c>
      <c r="D39" s="53" t="s">
        <v>83</v>
      </c>
      <c r="E39" s="55" t="s">
        <v>84</v>
      </c>
      <c r="F39" s="55" t="s">
        <v>85</v>
      </c>
      <c r="G39" s="56">
        <v>234040109</v>
      </c>
      <c r="H39" s="53">
        <v>2286</v>
      </c>
      <c r="I39" s="53" t="s">
        <v>71</v>
      </c>
      <c r="J39" s="57">
        <v>30</v>
      </c>
    </row>
    <row r="40" spans="2:14" s="21" customFormat="1" ht="12.95" customHeight="1" x14ac:dyDescent="0.25">
      <c r="B40" s="53">
        <f t="shared" si="0"/>
        <v>28</v>
      </c>
      <c r="C40" s="54">
        <v>45665</v>
      </c>
      <c r="D40" s="53" t="s">
        <v>68</v>
      </c>
      <c r="E40" s="55" t="s">
        <v>69</v>
      </c>
      <c r="F40" s="55" t="s">
        <v>81</v>
      </c>
      <c r="G40" s="56">
        <v>234040109</v>
      </c>
      <c r="H40" s="53">
        <v>2284</v>
      </c>
      <c r="I40" s="53" t="s">
        <v>71</v>
      </c>
      <c r="J40" s="57">
        <v>22.5</v>
      </c>
    </row>
    <row r="41" spans="2:14" s="21" customFormat="1" ht="20.100000000000001" customHeight="1" x14ac:dyDescent="0.25">
      <c r="B41" s="17"/>
      <c r="C41" s="18"/>
      <c r="D41" s="18"/>
      <c r="E41" s="19"/>
      <c r="F41" s="20" t="s">
        <v>17</v>
      </c>
      <c r="G41" s="17"/>
      <c r="I41" s="48" t="s">
        <v>4</v>
      </c>
      <c r="J41" s="49">
        <f>SUM(J13:J40)</f>
        <v>1907.3200000000002</v>
      </c>
    </row>
    <row r="42" spans="2:14" ht="20.100000000000001" customHeight="1" x14ac:dyDescent="0.25">
      <c r="I42" s="50" t="s">
        <v>18</v>
      </c>
      <c r="J42" s="62">
        <f>J5-J41</f>
        <v>-399.37000000000012</v>
      </c>
    </row>
    <row r="43" spans="2:14" s="4" customFormat="1" x14ac:dyDescent="0.25">
      <c r="B43" s="1"/>
      <c r="C43" s="1"/>
      <c r="D43" s="1"/>
      <c r="E43" s="25"/>
      <c r="F43" s="1"/>
      <c r="G43" s="2"/>
      <c r="H43" s="1"/>
      <c r="I43" s="24"/>
      <c r="J43" s="24"/>
      <c r="K43" s="1"/>
      <c r="L43" s="1"/>
      <c r="M43" s="1"/>
      <c r="N43" s="1"/>
    </row>
    <row r="44" spans="2:14" s="4" customFormat="1" ht="13.5" thickBot="1" x14ac:dyDescent="0.3">
      <c r="B44" s="1"/>
      <c r="C44" s="1"/>
      <c r="D44" s="1"/>
      <c r="E44" s="26"/>
      <c r="F44" s="1"/>
      <c r="G44" s="26"/>
      <c r="H44" s="1"/>
      <c r="I44" s="24"/>
      <c r="J44" s="24"/>
      <c r="K44" s="1"/>
      <c r="L44" s="1"/>
      <c r="M44" s="1"/>
      <c r="N44" s="1"/>
    </row>
    <row r="45" spans="2:14" s="4" customFormat="1" x14ac:dyDescent="0.25">
      <c r="B45" s="1"/>
      <c r="C45" s="1"/>
      <c r="D45" s="1"/>
      <c r="E45" s="42" t="s">
        <v>19</v>
      </c>
      <c r="F45" s="1"/>
      <c r="G45" s="42" t="s">
        <v>20</v>
      </c>
      <c r="H45" s="1"/>
      <c r="I45" s="24"/>
      <c r="J45" s="24"/>
      <c r="K45" s="1"/>
      <c r="L45" s="1"/>
      <c r="M45" s="1"/>
      <c r="N45" s="1"/>
    </row>
    <row r="46" spans="2:14" s="4" customFormat="1" x14ac:dyDescent="0.25">
      <c r="B46" s="1"/>
      <c r="C46" s="1"/>
      <c r="D46" s="1"/>
      <c r="E46" s="1"/>
      <c r="F46" s="1"/>
      <c r="G46" s="2"/>
      <c r="H46" s="1"/>
      <c r="I46" s="24"/>
      <c r="J46" s="24"/>
      <c r="K46" s="1"/>
      <c r="L46" s="1"/>
      <c r="M46" s="1"/>
      <c r="N46" s="1"/>
    </row>
    <row r="47" spans="2:14" s="4" customFormat="1" x14ac:dyDescent="0.25">
      <c r="B47" s="1"/>
      <c r="C47" s="1"/>
      <c r="D47" s="1"/>
      <c r="E47" s="1"/>
      <c r="F47" s="1"/>
      <c r="G47" s="2"/>
      <c r="H47" s="1"/>
      <c r="I47" s="24"/>
      <c r="J47" s="24"/>
      <c r="K47" s="1"/>
      <c r="L47" s="1"/>
      <c r="M47" s="1"/>
      <c r="N47" s="1"/>
    </row>
    <row r="48" spans="2:14" s="4" customFormat="1" x14ac:dyDescent="0.25">
      <c r="B48" s="1"/>
      <c r="C48" s="1"/>
      <c r="D48" s="1"/>
      <c r="E48" s="1"/>
      <c r="F48" s="1"/>
      <c r="G48" s="2"/>
      <c r="H48" s="1"/>
      <c r="I48" s="24"/>
      <c r="J48" s="24"/>
      <c r="K48" s="1"/>
      <c r="L48" s="1"/>
      <c r="M48" s="1"/>
      <c r="N48" s="1"/>
    </row>
    <row r="49" spans="2:14" s="4" customFormat="1" x14ac:dyDescent="0.25">
      <c r="B49" s="1"/>
      <c r="C49" s="1"/>
      <c r="D49" s="1"/>
      <c r="E49" s="1"/>
      <c r="F49" s="1"/>
      <c r="G49" s="2"/>
      <c r="H49" s="1"/>
      <c r="I49" s="24"/>
      <c r="J49" s="24"/>
      <c r="K49" s="1"/>
      <c r="L49" s="1"/>
      <c r="M49" s="1"/>
      <c r="N49" s="1"/>
    </row>
    <row r="50" spans="2:14" s="4" customFormat="1" x14ac:dyDescent="0.25">
      <c r="B50" s="1"/>
      <c r="C50" s="38" t="s">
        <v>21</v>
      </c>
      <c r="D50" s="1"/>
      <c r="E50" s="1"/>
      <c r="F50" s="1"/>
      <c r="G50" s="2"/>
      <c r="H50" s="1"/>
      <c r="I50" s="24"/>
      <c r="J50" s="24"/>
      <c r="K50" s="1"/>
      <c r="L50" s="1"/>
      <c r="M50" s="1"/>
      <c r="N50" s="1"/>
    </row>
    <row r="51" spans="2:14" s="4" customFormat="1" x14ac:dyDescent="0.25">
      <c r="B51" s="1">
        <v>1</v>
      </c>
      <c r="C51" s="39" t="s">
        <v>22</v>
      </c>
      <c r="D51" s="40"/>
      <c r="E51" s="40"/>
      <c r="F51" s="40"/>
      <c r="G51" s="2"/>
      <c r="H51" s="1"/>
      <c r="I51" s="24"/>
      <c r="J51" s="24"/>
      <c r="K51" s="1"/>
      <c r="L51" s="1"/>
      <c r="M51" s="1"/>
      <c r="N51" s="1"/>
    </row>
    <row r="52" spans="2:14" s="4" customFormat="1" x14ac:dyDescent="0.25">
      <c r="B52" s="1">
        <v>2</v>
      </c>
      <c r="C52" s="39" t="s">
        <v>23</v>
      </c>
      <c r="D52" s="40"/>
      <c r="E52" s="40"/>
      <c r="F52" s="40"/>
      <c r="G52" s="2"/>
      <c r="H52" s="1"/>
      <c r="I52" s="24"/>
      <c r="J52" s="24"/>
      <c r="K52" s="1"/>
      <c r="L52" s="1"/>
      <c r="M52" s="1"/>
      <c r="N52" s="1"/>
    </row>
    <row r="53" spans="2:14" s="4" customFormat="1" x14ac:dyDescent="0.25">
      <c r="B53" s="1">
        <v>3</v>
      </c>
      <c r="C53" s="41" t="s">
        <v>24</v>
      </c>
      <c r="D53" s="40"/>
      <c r="E53" s="40"/>
      <c r="F53" s="40"/>
      <c r="G53" s="2"/>
      <c r="H53" s="1"/>
      <c r="I53" s="24"/>
      <c r="J53" s="24"/>
      <c r="K53" s="1"/>
      <c r="L53" s="1"/>
      <c r="M53" s="1"/>
      <c r="N53" s="1"/>
    </row>
    <row r="54" spans="2:14" s="4" customFormat="1" x14ac:dyDescent="0.25">
      <c r="B54" s="1">
        <v>4</v>
      </c>
      <c r="C54" s="40" t="s">
        <v>25</v>
      </c>
      <c r="D54" s="40"/>
      <c r="E54" s="40"/>
      <c r="F54" s="40"/>
      <c r="G54" s="2"/>
      <c r="H54" s="1"/>
      <c r="I54" s="24"/>
      <c r="J54" s="24"/>
      <c r="K54" s="1"/>
      <c r="L54" s="1"/>
      <c r="M54" s="1"/>
      <c r="N54" s="1"/>
    </row>
    <row r="55" spans="2:14" s="4" customFormat="1" x14ac:dyDescent="0.25">
      <c r="B55" s="1">
        <v>5</v>
      </c>
      <c r="C55" s="40" t="s">
        <v>26</v>
      </c>
      <c r="D55" s="40"/>
      <c r="E55" s="40"/>
      <c r="F55" s="40"/>
      <c r="G55" s="2"/>
      <c r="H55" s="1"/>
      <c r="I55" s="24"/>
      <c r="J55" s="24"/>
      <c r="K55" s="1"/>
      <c r="L55" s="1"/>
      <c r="M55" s="1"/>
      <c r="N55" s="1"/>
    </row>
    <row r="56" spans="2:14" s="4" customFormat="1" x14ac:dyDescent="0.25">
      <c r="B56" s="1">
        <v>6</v>
      </c>
      <c r="C56" s="40" t="s">
        <v>27</v>
      </c>
      <c r="D56" s="40"/>
      <c r="E56" s="40"/>
      <c r="F56" s="40"/>
      <c r="G56" s="2"/>
      <c r="H56" s="1"/>
      <c r="I56" s="24"/>
      <c r="J56" s="24"/>
      <c r="K56" s="1"/>
      <c r="L56" s="1"/>
      <c r="M56" s="1"/>
      <c r="N56" s="1"/>
    </row>
    <row r="57" spans="2:14" s="4" customFormat="1" x14ac:dyDescent="0.25">
      <c r="B57" s="1"/>
      <c r="C57" s="1"/>
      <c r="D57" s="1"/>
      <c r="E57" s="1"/>
      <c r="F57" s="1"/>
      <c r="G57" s="2"/>
      <c r="H57" s="1"/>
      <c r="I57" s="1"/>
      <c r="J57" s="7"/>
      <c r="K57" s="1"/>
      <c r="L57" s="1"/>
      <c r="M57" s="1"/>
      <c r="N57" s="1"/>
    </row>
    <row r="58" spans="2:14" s="4" customFormat="1" x14ac:dyDescent="0.25">
      <c r="B58" s="1"/>
      <c r="C58" s="1"/>
      <c r="D58" s="1"/>
      <c r="E58" s="1"/>
      <c r="F58" s="1"/>
      <c r="G58" s="2"/>
      <c r="H58" s="1"/>
      <c r="I58" s="1"/>
      <c r="J58" s="7"/>
      <c r="K58" s="1"/>
      <c r="L58" s="1"/>
      <c r="M58" s="1"/>
      <c r="N58" s="1"/>
    </row>
    <row r="59" spans="2:14" s="4" customFormat="1" x14ac:dyDescent="0.25">
      <c r="B59" s="1"/>
      <c r="C59" s="1"/>
      <c r="D59" s="1"/>
      <c r="E59" s="1"/>
      <c r="F59" s="1"/>
      <c r="G59" s="2"/>
      <c r="H59" s="25"/>
      <c r="I59" s="1"/>
      <c r="J59" s="7"/>
      <c r="K59" s="1"/>
      <c r="L59" s="1"/>
      <c r="M59" s="1"/>
      <c r="N59" s="1"/>
    </row>
    <row r="60" spans="2:14" s="4" customFormat="1" x14ac:dyDescent="0.25">
      <c r="B60" s="1"/>
      <c r="C60" s="1"/>
      <c r="D60" s="1"/>
      <c r="E60" s="1"/>
      <c r="F60" s="1"/>
      <c r="G60" s="2"/>
      <c r="H60" s="1"/>
      <c r="I60" s="1"/>
      <c r="J60" s="7"/>
      <c r="K60" s="1"/>
      <c r="L60" s="1"/>
      <c r="M60" s="1"/>
      <c r="N60" s="1"/>
    </row>
    <row r="65" spans="2:14" x14ac:dyDescent="0.25">
      <c r="F65" s="27"/>
      <c r="G65" s="28"/>
      <c r="H65" s="29"/>
      <c r="J65" s="30"/>
    </row>
    <row r="66" spans="2:14" x14ac:dyDescent="0.25">
      <c r="G66" s="31"/>
      <c r="H66" s="29"/>
      <c r="J66" s="30"/>
    </row>
    <row r="67" spans="2:14" x14ac:dyDescent="0.25">
      <c r="G67" s="32"/>
      <c r="H67" s="33"/>
      <c r="I67" s="34"/>
      <c r="J67" s="30"/>
    </row>
    <row r="68" spans="2:14" x14ac:dyDescent="0.25">
      <c r="G68" s="32"/>
      <c r="H68" s="29"/>
      <c r="I68" s="34"/>
    </row>
    <row r="69" spans="2:14" x14ac:dyDescent="0.25">
      <c r="G69" s="28"/>
      <c r="H69" s="29"/>
      <c r="J69" s="30"/>
    </row>
    <row r="70" spans="2:14" x14ac:dyDescent="0.25">
      <c r="G70" s="28"/>
      <c r="H70" s="29"/>
      <c r="J70" s="30"/>
    </row>
    <row r="71" spans="2:14" x14ac:dyDescent="0.25">
      <c r="G71" s="35"/>
      <c r="H71" s="36"/>
      <c r="J71" s="30"/>
    </row>
    <row r="72" spans="2:14" x14ac:dyDescent="0.25">
      <c r="G72" s="28"/>
      <c r="H72" s="29"/>
      <c r="J72" s="30"/>
    </row>
    <row r="73" spans="2:14" s="4" customFormat="1" x14ac:dyDescent="0.25">
      <c r="B73" s="1"/>
      <c r="C73" s="1"/>
      <c r="D73" s="1"/>
      <c r="E73" s="1"/>
      <c r="F73" s="1"/>
      <c r="G73" s="28"/>
      <c r="H73" s="29"/>
      <c r="I73" s="1"/>
      <c r="J73" s="30"/>
      <c r="K73" s="1"/>
      <c r="L73" s="1"/>
      <c r="M73" s="1"/>
      <c r="N73" s="1"/>
    </row>
    <row r="74" spans="2:14" s="4" customFormat="1" x14ac:dyDescent="0.25">
      <c r="B74" s="1"/>
      <c r="C74" s="1"/>
      <c r="D74" s="1"/>
      <c r="E74" s="1"/>
      <c r="F74" s="1"/>
      <c r="G74" s="35"/>
      <c r="H74" s="29"/>
      <c r="I74" s="1"/>
      <c r="J74" s="30"/>
      <c r="K74" s="1"/>
      <c r="L74" s="1"/>
      <c r="M74" s="1"/>
      <c r="N74" s="1"/>
    </row>
    <row r="75" spans="2:14" s="4" customFormat="1" x14ac:dyDescent="0.25">
      <c r="B75" s="1"/>
      <c r="C75" s="1"/>
      <c r="D75" s="1"/>
      <c r="E75" s="1"/>
      <c r="F75" s="1"/>
      <c r="G75" s="28"/>
      <c r="H75" s="29"/>
      <c r="I75" s="1"/>
      <c r="J75" s="30"/>
    </row>
    <row r="76" spans="2:14" s="4" customFormat="1" x14ac:dyDescent="0.25">
      <c r="B76" s="1"/>
      <c r="C76" s="1"/>
      <c r="D76" s="1"/>
      <c r="E76" s="1"/>
      <c r="F76" s="1"/>
      <c r="G76" s="28"/>
      <c r="H76" s="29"/>
      <c r="I76" s="1"/>
      <c r="J76" s="30"/>
    </row>
    <row r="77" spans="2:14" s="4" customFormat="1" x14ac:dyDescent="0.25">
      <c r="B77" s="1"/>
      <c r="C77" s="1"/>
      <c r="D77" s="1"/>
      <c r="E77" s="1"/>
      <c r="F77" s="1"/>
      <c r="G77" s="28"/>
      <c r="H77" s="29"/>
      <c r="I77" s="1"/>
      <c r="J77" s="30"/>
    </row>
    <row r="78" spans="2:14" s="4" customFormat="1" x14ac:dyDescent="0.25">
      <c r="B78" s="1"/>
      <c r="C78" s="1"/>
      <c r="D78" s="1"/>
      <c r="E78" s="1"/>
      <c r="F78" s="1"/>
      <c r="G78" s="37"/>
      <c r="H78" s="29"/>
      <c r="I78" s="1"/>
      <c r="J78" s="30"/>
    </row>
    <row r="79" spans="2:14" s="4" customFormat="1" x14ac:dyDescent="0.25">
      <c r="B79" s="1"/>
      <c r="C79" s="1"/>
      <c r="D79" s="1"/>
      <c r="E79" s="1"/>
      <c r="F79" s="1"/>
      <c r="G79" s="28"/>
      <c r="H79" s="29"/>
      <c r="I79" s="1"/>
      <c r="J79" s="30"/>
    </row>
  </sheetData>
  <autoFilter ref="B12:J12" xr:uid="{DC4C493D-E7D4-465D-A62D-C8D6A198D05E}"/>
  <mergeCells count="3">
    <mergeCell ref="B6:J6"/>
    <mergeCell ref="B8:J8"/>
    <mergeCell ref="C4:D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  <rowBreaks count="1" manualBreakCount="1">
    <brk id="60" min="1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2225-0ED4-493B-A675-06EFD6DB013C}">
  <dimension ref="E5:G20"/>
  <sheetViews>
    <sheetView workbookViewId="0">
      <selection activeCell="E20" sqref="E20"/>
    </sheetView>
  </sheetViews>
  <sheetFormatPr baseColWidth="10" defaultColWidth="11.42578125" defaultRowHeight="15" x14ac:dyDescent="0.25"/>
  <cols>
    <col min="5" max="5" width="11.7109375" bestFit="1" customWidth="1"/>
  </cols>
  <sheetData>
    <row r="5" spans="5:7" x14ac:dyDescent="0.25">
      <c r="E5">
        <v>177</v>
      </c>
    </row>
    <row r="6" spans="5:7" x14ac:dyDescent="0.25">
      <c r="E6">
        <v>118</v>
      </c>
    </row>
    <row r="7" spans="5:7" x14ac:dyDescent="0.25">
      <c r="E7">
        <v>130</v>
      </c>
    </row>
    <row r="8" spans="5:7" x14ac:dyDescent="0.25">
      <c r="E8">
        <v>120.01</v>
      </c>
    </row>
    <row r="9" spans="5:7" x14ac:dyDescent="0.25">
      <c r="E9" s="51">
        <v>118</v>
      </c>
      <c r="F9" s="52"/>
      <c r="G9" s="51"/>
    </row>
    <row r="10" spans="5:7" x14ac:dyDescent="0.25">
      <c r="E10" s="51">
        <v>149.6</v>
      </c>
      <c r="F10" s="52"/>
      <c r="G10" s="51"/>
    </row>
    <row r="11" spans="5:7" x14ac:dyDescent="0.25">
      <c r="E11" s="51">
        <v>46.85</v>
      </c>
      <c r="F11" s="52"/>
      <c r="G11" s="51"/>
    </row>
    <row r="12" spans="5:7" x14ac:dyDescent="0.25">
      <c r="E12" s="51">
        <v>43.69</v>
      </c>
      <c r="F12" s="52"/>
      <c r="G12" s="51"/>
    </row>
    <row r="13" spans="5:7" x14ac:dyDescent="0.25">
      <c r="E13" s="51">
        <v>50.34</v>
      </c>
    </row>
    <row r="14" spans="5:7" x14ac:dyDescent="0.25">
      <c r="E14" s="51">
        <v>46.46</v>
      </c>
    </row>
    <row r="15" spans="5:7" x14ac:dyDescent="0.25">
      <c r="E15" s="51">
        <v>7.9</v>
      </c>
    </row>
    <row r="16" spans="5:7" x14ac:dyDescent="0.25">
      <c r="E16" s="51">
        <v>28.9</v>
      </c>
    </row>
    <row r="17" spans="5:5" x14ac:dyDescent="0.25">
      <c r="E17" s="51">
        <v>19.29</v>
      </c>
    </row>
    <row r="18" spans="5:5" x14ac:dyDescent="0.25">
      <c r="E18" s="51">
        <v>45.69</v>
      </c>
    </row>
    <row r="19" spans="5:5" x14ac:dyDescent="0.25">
      <c r="E19" s="51">
        <v>66.58</v>
      </c>
    </row>
    <row r="20" spans="5:5" x14ac:dyDescent="0.25">
      <c r="E20">
        <f>SUM(E5:E19)</f>
        <v>1168.3100000000002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549032-4865-4e0d-a2fc-0352d06fe2bf">
      <Terms xmlns="http://schemas.microsoft.com/office/infopath/2007/PartnerControls"/>
    </lcf76f155ced4ddcb4097134ff3c332f>
    <TaxCatchAll xmlns="951ee25e-9dca-43c9-b53d-0ef97cc4dd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9CF4FD052B904192126259567E8B60" ma:contentTypeVersion="20" ma:contentTypeDescription="Crear nuevo documento." ma:contentTypeScope="" ma:versionID="4276e85cb1d339bee1e7e05676626e56">
  <xsd:schema xmlns:xsd="http://www.w3.org/2001/XMLSchema" xmlns:xs="http://www.w3.org/2001/XMLSchema" xmlns:p="http://schemas.microsoft.com/office/2006/metadata/properties" xmlns:ns2="2f549032-4865-4e0d-a2fc-0352d06fe2bf" xmlns:ns3="951ee25e-9dca-43c9-b53d-0ef97cc4ddc2" targetNamespace="http://schemas.microsoft.com/office/2006/metadata/properties" ma:root="true" ma:fieldsID="9746a5093301e036629a5aa1b837271c" ns2:_="" ns3:_="">
    <xsd:import namespace="2f549032-4865-4e0d-a2fc-0352d06fe2bf"/>
    <xsd:import namespace="951ee25e-9dca-43c9-b53d-0ef97cc4d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549032-4865-4e0d-a2fc-0352d06fe2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a09c8d69-c7f0-4da1-a9f4-a6304ebc87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ee25e-9dca-43c9-b53d-0ef97cc4ddc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fe6cbb3-4629-41c0-845a-663f58f2505e}" ma:internalName="TaxCatchAll" ma:showField="CatchAllData" ma:web="951ee25e-9dca-43c9-b53d-0ef97cc4d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32F8DB-045C-4107-9746-6BB19B6768A3}">
  <ds:schemaRefs>
    <ds:schemaRef ds:uri="http://schemas.microsoft.com/office/2006/metadata/properties"/>
    <ds:schemaRef ds:uri="http://schemas.microsoft.com/office/infopath/2007/PartnerControls"/>
    <ds:schemaRef ds:uri="2f549032-4865-4e0d-a2fc-0352d06fe2bf"/>
    <ds:schemaRef ds:uri="951ee25e-9dca-43c9-b53d-0ef97cc4ddc2"/>
  </ds:schemaRefs>
</ds:datastoreItem>
</file>

<file path=customXml/itemProps2.xml><?xml version="1.0" encoding="utf-8"?>
<ds:datastoreItem xmlns:ds="http://schemas.openxmlformats.org/officeDocument/2006/customXml" ds:itemID="{23CFFA94-8FAA-44DD-95A4-800116CBA1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93920D-FD21-481B-9E73-238529AB45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CAJA </vt:lpstr>
      <vt:lpstr>Hoja1</vt:lpstr>
      <vt:lpstr>'CAJA '!_MailOriginal</vt:lpstr>
      <vt:lpstr>'CAJA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Carranza</dc:creator>
  <cp:keywords/>
  <dc:description/>
  <cp:lastModifiedBy>JAVIER VILLA HERMOZA</cp:lastModifiedBy>
  <cp:revision/>
  <cp:lastPrinted>2026-01-13T23:05:52Z</cp:lastPrinted>
  <dcterms:created xsi:type="dcterms:W3CDTF">2024-06-19T15:11:43Z</dcterms:created>
  <dcterms:modified xsi:type="dcterms:W3CDTF">2026-01-14T02:27:57Z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0x0101004C9CF4FD052B904192126259567E8B60</vt:lpwstr>
  </property>
  <property fmtid="{D5CDD505-2E9C-101B-9397-08002B2CF9AE}" pid="3" name="MediaServiceImageTags">
    <vt:lpwstr/>
  </property>
</Properties>
</file>