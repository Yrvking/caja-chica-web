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Yrving\Downloads\"/>
    </mc:Choice>
  </mc:AlternateContent>
  <xr:revisionPtr revIDLastSave="0" documentId="13_ncr:1_{79F36775-E641-4BAD-BEBE-795D21C79EC9}" xr6:coauthVersionLast="47" xr6:coauthVersionMax="47" xr10:uidLastSave="{00000000-0000-0000-0000-000000000000}"/>
  <bookViews>
    <workbookView xWindow="-108" yWindow="-108" windowWidth="23256" windowHeight="12456" tabRatio="687" activeTab="2" xr2:uid="{00000000-000D-0000-FFFF-FFFF00000000}"/>
  </bookViews>
  <sheets>
    <sheet name="PC" sheetId="60" r:id="rId1"/>
    <sheet name="CUENTAS" sheetId="88" r:id="rId2"/>
    <sheet name="BASE DE DATOS GASTOS" sheetId="83" r:id="rId3"/>
    <sheet name="TC" sheetId="85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\p">#REF!</definedName>
    <definedName name="__DAT4">'[1]Resumen SAP'!#REF!</definedName>
    <definedName name="_DAT4">'[1]Resumen SAP'!#REF!</definedName>
    <definedName name="_EST1">'[2]TIPO I'!$A$15:$J$859</definedName>
    <definedName name="_EST2">[2]TIPOII!$A$16:$J$742</definedName>
    <definedName name="_est3">[2]TIPOIII!$A$14:$J$785</definedName>
    <definedName name="_est4">[2]TIPOIV!$A$14:$J$923</definedName>
    <definedName name="_xlnm._FilterDatabase" localSheetId="0" hidden="1">PC!$B$4:$C$4</definedName>
    <definedName name="_TP001">#REF!</definedName>
    <definedName name="_TP002">#REF!</definedName>
    <definedName name="_TP003">#REF!</definedName>
    <definedName name="_TP004">#REF!</definedName>
    <definedName name="_TP005">#REF!</definedName>
    <definedName name="_TP006">#REF!</definedName>
    <definedName name="_TP007">#REF!</definedName>
    <definedName name="_TP008">#REF!</definedName>
    <definedName name="_TP009">#REF!</definedName>
    <definedName name="_TP010">#REF!</definedName>
    <definedName name="_TP011">#REF!</definedName>
    <definedName name="_TP013">#REF!</definedName>
    <definedName name="_TP014">#REF!</definedName>
    <definedName name="_TP015">#REF!</definedName>
    <definedName name="_TP016">#REF!</definedName>
    <definedName name="a">#REF!</definedName>
    <definedName name="A_impresión_IM">#REF!</definedName>
    <definedName name="A_Terreno">[3]RESUMEN!#REF!</definedName>
    <definedName name="acero">#REF!</definedName>
    <definedName name="afirmado">#REF!</definedName>
    <definedName name="Agua">#REF!</definedName>
    <definedName name="alambre">#REF!</definedName>
    <definedName name="Alizadora">#REF!</definedName>
    <definedName name="Anexo_EEFF">#REF!</definedName>
    <definedName name="apisonadora">#REF!</definedName>
    <definedName name="Area">#REF!</definedName>
    <definedName name="area1">#REF!</definedName>
    <definedName name="area2">#REF!</definedName>
    <definedName name="AREA3">#REF!</definedName>
    <definedName name="AREA4">#REF!</definedName>
    <definedName name="AREATOTAL">#REF!</definedName>
    <definedName name="arenag">#REF!</definedName>
    <definedName name="AT">'[4]Ppto. Venta1'!#REF!</definedName>
    <definedName name="Ay">#REF!</definedName>
    <definedName name="B">'[5]pu Estructuras'!#REF!</definedName>
    <definedName name="B1_Dpto_1_1">#REF!</definedName>
    <definedName name="B1_Dpto_2_1">#REF!</definedName>
    <definedName name="B1_Dpto_3_1">#REF!</definedName>
    <definedName name="B1_Dpto_4_1">#REF!</definedName>
    <definedName name="B2_Dpto_1_1">#REF!</definedName>
    <definedName name="B2_Dpto_2_1">#REF!</definedName>
    <definedName name="B2_Dpto_3_1">#REF!</definedName>
    <definedName name="B2_Dpto_4_1">#REF!</definedName>
    <definedName name="basedatos2">#REF!</definedName>
    <definedName name="_xlnm.Database">#REF!</definedName>
    <definedName name="bbbb">'[6]Emp Ant'!#REF!</definedName>
    <definedName name="bitumen">#REF!</definedName>
    <definedName name="bomba">#REF!</definedName>
    <definedName name="cambiar">#REF!</definedName>
    <definedName name="camion">#REF!</definedName>
    <definedName name="cargaretroexcavadora">#REF!</definedName>
    <definedName name="CASA1">#REF!</definedName>
    <definedName name="CASA2">#REF!</definedName>
    <definedName name="CASA3">#REF!</definedName>
    <definedName name="CASA4">#REF!</definedName>
    <definedName name="CCDXXXSP">'[5]pu Estructuras'!#REF!</definedName>
    <definedName name="CCX">'[5]pu Estructuras'!#REF!</definedName>
    <definedName name="CCXC">'[5]pu Estructuras'!#REF!</definedName>
    <definedName name="CDXXV">'[5]pu Estructuras'!#REF!</definedName>
    <definedName name="cemento1">#REF!</definedName>
    <definedName name="cfc100t1">#REF!</definedName>
    <definedName name="cfc2101l">#REF!</definedName>
    <definedName name="cfc2101p">#REF!</definedName>
    <definedName name="cfc210t1">#REF!</definedName>
    <definedName name="cfc210tv">#REF!</definedName>
    <definedName name="cfc245t1">#REF!</definedName>
    <definedName name="cfc245t1f">#REF!</definedName>
    <definedName name="cfc245tv">#REF!</definedName>
    <definedName name="CL">'[7]Encofrado BVR Unispan'!$C$9</definedName>
    <definedName name="clavos">#REF!</definedName>
    <definedName name="COMAS">#REF!</definedName>
    <definedName name="Compresora">#REF!</definedName>
    <definedName name="COMUN">#REF!</definedName>
    <definedName name="confilm">#REF!</definedName>
    <definedName name="cortadora">#REF!</definedName>
    <definedName name="corte">#REF!</definedName>
    <definedName name="COSTOS">#REF!</definedName>
    <definedName name="Cp">#REF!</definedName>
    <definedName name="cretex">#REF!</definedName>
    <definedName name="cronograma">#REF!</definedName>
    <definedName name="cuadro01">#REF!</definedName>
    <definedName name="cuadro02">#REF!</definedName>
    <definedName name="cuadroD">#REF!</definedName>
    <definedName name="Curador">#REF!</definedName>
    <definedName name="d">#REF!</definedName>
    <definedName name="Desc">#REF!</definedName>
    <definedName name="desembolso">[8]Ventas!#REF!</definedName>
    <definedName name="DETALLE">#REF!</definedName>
    <definedName name="disco">#REF!</definedName>
    <definedName name="disolvente">#REF!</definedName>
    <definedName name="dobladora">#REF!</definedName>
    <definedName name="Egresos_tot">#REF!</definedName>
    <definedName name="equipocorte">#REF!</definedName>
    <definedName name="FFF">#REF!</definedName>
    <definedName name="fg.10">#REF!</definedName>
    <definedName name="fg.5">#REF!</definedName>
    <definedName name="FGTIA">#REF!</definedName>
    <definedName name="fliso">#REF!</definedName>
    <definedName name="GES">#REF!</definedName>
    <definedName name="GGG">#REF!</definedName>
    <definedName name="GGUU">#REF!</definedName>
    <definedName name="Grasa">#REF!</definedName>
    <definedName name="Guia_EEFF">#REF!</definedName>
    <definedName name="Guia_flujo_caja">#REF!</definedName>
    <definedName name="HOJA">#REF!</definedName>
    <definedName name="Hormigon">#REF!</definedName>
    <definedName name="IGV">#REF!</definedName>
    <definedName name="inform_basica">#REF!</definedName>
    <definedName name="Ing_Neto">#REF!</definedName>
    <definedName name="Ing_Tot">#REF!</definedName>
    <definedName name="IR">#REF!</definedName>
    <definedName name="laca">#REF!</definedName>
    <definedName name="ladrillokk">#REF!</definedName>
    <definedName name="LISTA">#REF!</definedName>
    <definedName name="M">'[7]Encofrado BVR Unispan'!$C$7</definedName>
    <definedName name="Madera">#REF!</definedName>
    <definedName name="MAESTRO">[9]ResumenTotalObra!#REF!</definedName>
    <definedName name="MARCO">#REF!</definedName>
    <definedName name="martillo">#REF!</definedName>
    <definedName name="martillohilti">#REF!</definedName>
    <definedName name="Mes">#REF!</definedName>
    <definedName name="mezcladora">#REF!</definedName>
    <definedName name="mirko">#REF!</definedName>
    <definedName name="Moneda">#REF!</definedName>
    <definedName name="N">#REF!</definedName>
    <definedName name="Nivel">#REF!</definedName>
    <definedName name="nombreproyecto">'[10]Información de proyecto'!$B$12</definedName>
    <definedName name="nuevo">'[11]TIPO I'!$A$15:$J$828</definedName>
    <definedName name="Of">#REF!</definedName>
    <definedName name="Op">#REF!</definedName>
    <definedName name="P000">#REF!</definedName>
    <definedName name="PARTIDA">'[12]Hoja1 (2)'!$B$9:$E$128</definedName>
    <definedName name="PARTIDAS">#REF!</definedName>
    <definedName name="PC_MAS_USADAS">#REF!</definedName>
    <definedName name="pesimista">#REF!</definedName>
    <definedName name="PESOS">#REF!</definedName>
    <definedName name="piedrag">#REF!</definedName>
    <definedName name="PINTURA">#REF!</definedName>
    <definedName name="PjeAdelanto">#REF!</definedName>
    <definedName name="PjeFinal">#REF!</definedName>
    <definedName name="PjeFinalii">#REF!</definedName>
    <definedName name="PjeFinaliii">#REF!</definedName>
    <definedName name="PorDesembolsar">[8]Ventas!#REF!</definedName>
    <definedName name="PRECIO">'[13]FLUJO DE CAJA'!$D$13</definedName>
    <definedName name="PrecioEstac">#REF!</definedName>
    <definedName name="Print_Area_MI">#REF!</definedName>
    <definedName name="punta">#REF!</definedName>
    <definedName name="pvc">#REF!</definedName>
    <definedName name="Quimilac">#REF!</definedName>
    <definedName name="Quimisolven">#REF!</definedName>
    <definedName name="relac_aceptant">#REF!</definedName>
    <definedName name="Relac_patrim">#REF!</definedName>
    <definedName name="RELACION">#REF!</definedName>
    <definedName name="Relpar">#REF!</definedName>
    <definedName name="Resumen">#REF!</definedName>
    <definedName name="rodillo">#REF!</definedName>
    <definedName name="sellador">#REF!</definedName>
    <definedName name="sika1">#REF!</definedName>
    <definedName name="sikapiso40">#REF!</definedName>
    <definedName name="SOLES">#REF!</definedName>
    <definedName name="surflex">#REF!</definedName>
    <definedName name="T">'[7]Encofrado BVR Unispan'!$C$8</definedName>
    <definedName name="Tabla">[14]Datos!$A$2:$L$549</definedName>
    <definedName name="tc">'[14]Eval. Ing.'!$M$3</definedName>
    <definedName name="tecnopor">#REF!</definedName>
    <definedName name="Teodolito">#REF!</definedName>
    <definedName name="TIPFIN8">[15]TIPFIN10!$K$69</definedName>
    <definedName name="TIPO_MONEDA">#REF!</definedName>
    <definedName name="tp">#REF!</definedName>
    <definedName name="TP000">#REF!</definedName>
    <definedName name="triplay">#REF!</definedName>
    <definedName name="uno">#REF!</definedName>
    <definedName name="UTI">#REF!</definedName>
    <definedName name="vibradora">#REF!</definedName>
    <definedName name="vigas">#REF!</definedName>
    <definedName name="X">#REF!</definedName>
    <definedName name="yu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0" i="83" l="1"/>
  <c r="AD20" i="83"/>
  <c r="AC20" i="83"/>
  <c r="E20" i="83"/>
  <c r="M20" i="83"/>
  <c r="R20" i="83"/>
  <c r="T20" i="83"/>
  <c r="U20" i="83"/>
  <c r="V20" i="83"/>
  <c r="Y20" i="83"/>
  <c r="AB20" i="83" s="1"/>
  <c r="AF20" i="83"/>
  <c r="AG20" i="83"/>
  <c r="AH20" i="83"/>
  <c r="AE19" i="83"/>
  <c r="AD19" i="83"/>
  <c r="AC19" i="83"/>
  <c r="E19" i="83"/>
  <c r="M19" i="83"/>
  <c r="R19" i="83"/>
  <c r="T19" i="83"/>
  <c r="U19" i="83"/>
  <c r="V19" i="83"/>
  <c r="Y19" i="83"/>
  <c r="AB19" i="83" s="1"/>
  <c r="AF19" i="83"/>
  <c r="AG19" i="83"/>
  <c r="AH19" i="83"/>
  <c r="AE18" i="83"/>
  <c r="AD18" i="83"/>
  <c r="AC18" i="83"/>
  <c r="E18" i="83"/>
  <c r="M18" i="83"/>
  <c r="R18" i="83"/>
  <c r="T18" i="83"/>
  <c r="U18" i="83"/>
  <c r="V18" i="83"/>
  <c r="Y18" i="83"/>
  <c r="AB18" i="83" s="1"/>
  <c r="AF18" i="83"/>
  <c r="AG18" i="83"/>
  <c r="AH18" i="83"/>
  <c r="AE17" i="83"/>
  <c r="AD17" i="83"/>
  <c r="AC17" i="83"/>
  <c r="E17" i="83"/>
  <c r="M17" i="83"/>
  <c r="R17" i="83"/>
  <c r="T17" i="83"/>
  <c r="U17" i="83"/>
  <c r="V17" i="83"/>
  <c r="Y17" i="83"/>
  <c r="AB17" i="83" s="1"/>
  <c r="AF17" i="83"/>
  <c r="AG17" i="83"/>
  <c r="AH17" i="83"/>
  <c r="AE16" i="83"/>
  <c r="AD16" i="83"/>
  <c r="AC16" i="83"/>
  <c r="E16" i="83"/>
  <c r="M16" i="83"/>
  <c r="R16" i="83"/>
  <c r="T16" i="83"/>
  <c r="V16" i="83" s="1"/>
  <c r="Y16" i="83"/>
  <c r="AB16" i="83" s="1"/>
  <c r="AF16" i="83"/>
  <c r="AG16" i="83"/>
  <c r="AH16" i="83"/>
  <c r="AE15" i="83"/>
  <c r="AD15" i="83"/>
  <c r="AC15" i="83"/>
  <c r="E15" i="83"/>
  <c r="M15" i="83"/>
  <c r="R15" i="83"/>
  <c r="T15" i="83"/>
  <c r="V15" i="83" s="1"/>
  <c r="Y15" i="83"/>
  <c r="AB15" i="83" s="1"/>
  <c r="AF15" i="83"/>
  <c r="AG15" i="83"/>
  <c r="AH15" i="83"/>
  <c r="AE14" i="83"/>
  <c r="AD14" i="83"/>
  <c r="AC14" i="83"/>
  <c r="E14" i="83"/>
  <c r="M14" i="83"/>
  <c r="R14" i="83"/>
  <c r="T14" i="83"/>
  <c r="U14" i="83" s="1"/>
  <c r="Y14" i="83"/>
  <c r="AB14" i="83" s="1"/>
  <c r="AF14" i="83"/>
  <c r="AG14" i="83"/>
  <c r="AH14" i="83"/>
  <c r="AE13" i="83"/>
  <c r="AD13" i="83"/>
  <c r="AC13" i="83"/>
  <c r="E13" i="83"/>
  <c r="M13" i="83"/>
  <c r="R13" i="83"/>
  <c r="T13" i="83"/>
  <c r="U13" i="83"/>
  <c r="V13" i="83"/>
  <c r="Y13" i="83"/>
  <c r="AB13" i="83" s="1"/>
  <c r="AF13" i="83"/>
  <c r="AG13" i="83"/>
  <c r="AH13" i="83"/>
  <c r="AE12" i="83"/>
  <c r="AD12" i="83"/>
  <c r="AC12" i="83"/>
  <c r="E12" i="83"/>
  <c r="M12" i="83"/>
  <c r="R12" i="83"/>
  <c r="T12" i="83"/>
  <c r="U12" i="83"/>
  <c r="V12" i="83"/>
  <c r="Y12" i="83"/>
  <c r="AB12" i="83" s="1"/>
  <c r="AF12" i="83"/>
  <c r="AG12" i="83"/>
  <c r="AH12" i="83"/>
  <c r="AE11" i="83"/>
  <c r="AD11" i="83"/>
  <c r="AC11" i="83"/>
  <c r="E11" i="83"/>
  <c r="M11" i="83"/>
  <c r="R11" i="83"/>
  <c r="T11" i="83"/>
  <c r="U11" i="83"/>
  <c r="V11" i="83"/>
  <c r="Y11" i="83"/>
  <c r="AB11" i="83" s="1"/>
  <c r="AF11" i="83"/>
  <c r="AG11" i="83"/>
  <c r="AH11" i="83"/>
  <c r="AE10" i="83"/>
  <c r="AD10" i="83"/>
  <c r="AC10" i="83"/>
  <c r="E10" i="83"/>
  <c r="M10" i="83"/>
  <c r="R10" i="83"/>
  <c r="T10" i="83"/>
  <c r="U10" i="83"/>
  <c r="V10" i="83"/>
  <c r="Y10" i="83"/>
  <c r="AB10" i="83" s="1"/>
  <c r="AF10" i="83"/>
  <c r="AG10" i="83"/>
  <c r="AH10" i="83"/>
  <c r="AE9" i="83"/>
  <c r="AD9" i="83"/>
  <c r="AC9" i="83"/>
  <c r="E9" i="83"/>
  <c r="M9" i="83"/>
  <c r="R9" i="83"/>
  <c r="T9" i="83"/>
  <c r="U9" i="83"/>
  <c r="V9" i="83"/>
  <c r="Y9" i="83"/>
  <c r="AB9" i="83" s="1"/>
  <c r="AF9" i="83"/>
  <c r="AG9" i="83"/>
  <c r="AH9" i="83"/>
  <c r="AE8" i="83"/>
  <c r="AD8" i="83"/>
  <c r="AC8" i="83"/>
  <c r="E8" i="83"/>
  <c r="M8" i="83"/>
  <c r="R8" i="83"/>
  <c r="T8" i="83"/>
  <c r="U8" i="83" s="1"/>
  <c r="Y8" i="83"/>
  <c r="AB8" i="83" s="1"/>
  <c r="AF8" i="83"/>
  <c r="AG8" i="83"/>
  <c r="AH8" i="83"/>
  <c r="AE7" i="83"/>
  <c r="AD7" i="83"/>
  <c r="AC7" i="83"/>
  <c r="E7" i="83"/>
  <c r="M7" i="83"/>
  <c r="R7" i="83"/>
  <c r="T7" i="83"/>
  <c r="U7" i="83" s="1"/>
  <c r="Y7" i="83"/>
  <c r="AB7" i="83" s="1"/>
  <c r="AF7" i="83"/>
  <c r="AG7" i="83"/>
  <c r="AH7" i="83"/>
  <c r="AE6" i="83"/>
  <c r="AD6" i="83"/>
  <c r="AC6" i="83"/>
  <c r="E6" i="83"/>
  <c r="M6" i="83"/>
  <c r="R6" i="83"/>
  <c r="T6" i="83"/>
  <c r="U6" i="83"/>
  <c r="V6" i="83"/>
  <c r="Y6" i="83"/>
  <c r="AB6" i="83" s="1"/>
  <c r="AF6" i="83"/>
  <c r="AG6" i="83"/>
  <c r="AH6" i="83"/>
  <c r="AE5" i="83"/>
  <c r="AD5" i="83"/>
  <c r="AC5" i="83"/>
  <c r="E5" i="83"/>
  <c r="M5" i="83"/>
  <c r="R5" i="83"/>
  <c r="T5" i="83"/>
  <c r="U5" i="83"/>
  <c r="V5" i="83"/>
  <c r="Y5" i="83"/>
  <c r="AB5" i="83" s="1"/>
  <c r="AF5" i="83"/>
  <c r="AG5" i="83"/>
  <c r="AH5" i="83"/>
  <c r="AE4" i="83"/>
  <c r="AD4" i="83"/>
  <c r="AC4" i="83"/>
  <c r="E4" i="83"/>
  <c r="M4" i="83"/>
  <c r="R4" i="83"/>
  <c r="T4" i="83"/>
  <c r="U4" i="83"/>
  <c r="V4" i="83"/>
  <c r="Y4" i="83"/>
  <c r="AB4" i="83" s="1"/>
  <c r="AF4" i="83"/>
  <c r="AG4" i="83"/>
  <c r="AH4" i="83"/>
  <c r="AE3" i="83"/>
  <c r="AD3" i="83"/>
  <c r="AC3" i="83"/>
  <c r="E3" i="83"/>
  <c r="M3" i="83"/>
  <c r="R3" i="83"/>
  <c r="T3" i="83"/>
  <c r="U3" i="83" s="1"/>
  <c r="Y3" i="83"/>
  <c r="AB3" i="83" s="1"/>
  <c r="AF3" i="83"/>
  <c r="AG3" i="83"/>
  <c r="AH3" i="83"/>
  <c r="AE2" i="83"/>
  <c r="AD2" i="83"/>
  <c r="AC2" i="83"/>
  <c r="E2" i="83"/>
  <c r="M2" i="83"/>
  <c r="R2" i="83"/>
  <c r="T2" i="83"/>
  <c r="U2" i="83" s="1"/>
  <c r="Y2" i="83"/>
  <c r="AB2" i="83" s="1"/>
  <c r="AF2" i="83"/>
  <c r="AG2" i="83"/>
  <c r="AH2" i="83"/>
  <c r="U16" i="83" l="1"/>
  <c r="U15" i="83"/>
  <c r="V14" i="83"/>
  <c r="V8" i="83"/>
  <c r="V7" i="83"/>
  <c r="V3" i="83"/>
  <c r="V2" i="83"/>
  <c r="I2" i="88" l="1"/>
  <c r="H2" i="8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tc={0806015A-4E54-4E96-BF65-62893DCC8A07}</author>
    <author>Yrving</author>
  </authors>
  <commentList>
    <comment ref="A1" authorId="0" shapeId="0" xr:uid="{0806015A-4E54-4E96-BF65-62893DCC8A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Solo debe editarse las columnas en color amarillo, (desde la columna “A” hasta “G”), no debe eliminarse la columna “H”, “I”</t>
      </text>
    </comment>
    <comment ref="B1" authorId="1" shapeId="0" xr:uid="{C1EA937B-4C2E-4E57-BA01-0D87AADF451A}">
      <text>
        <r>
          <rPr>
            <b/>
            <sz val="9"/>
            <color indexed="81"/>
            <rFont val="Tahoma"/>
            <family val="2"/>
          </rPr>
          <t>Solo debe editarse las columnas en color amarillo, (desde la columna “A” hasta “G”), no debe eliminarse la columna “H”, “I”</t>
        </r>
      </text>
    </comment>
  </commentList>
</comments>
</file>

<file path=xl/sharedStrings.xml><?xml version="1.0" encoding="utf-8"?>
<sst xmlns="http://schemas.openxmlformats.org/spreadsheetml/2006/main" count="316" uniqueCount="195">
  <si>
    <t>Cuenta</t>
  </si>
  <si>
    <t>Descripción</t>
  </si>
  <si>
    <t>DOCUMENTO</t>
  </si>
  <si>
    <t>FACTURA</t>
  </si>
  <si>
    <t>RxH</t>
  </si>
  <si>
    <t>BOLETA</t>
  </si>
  <si>
    <t>INVOICE</t>
  </si>
  <si>
    <t>CAJA CHICA</t>
  </si>
  <si>
    <t>RECIBO</t>
  </si>
  <si>
    <t>PROVEEDOR</t>
  </si>
  <si>
    <t>TC</t>
  </si>
  <si>
    <t>RUC</t>
  </si>
  <si>
    <t>BANCO</t>
  </si>
  <si>
    <t>MONEDA</t>
  </si>
  <si>
    <t>CC/CA</t>
  </si>
  <si>
    <t>CCI</t>
  </si>
  <si>
    <t>COMBINACION</t>
  </si>
  <si>
    <t>BANCOS</t>
  </si>
  <si>
    <t>BCP</t>
  </si>
  <si>
    <t>BBVA</t>
  </si>
  <si>
    <t>INTERBANK</t>
  </si>
  <si>
    <t>SCOTIABANK</t>
  </si>
  <si>
    <t>F. PROVISIÓN</t>
  </si>
  <si>
    <t>F. ENVÍO</t>
  </si>
  <si>
    <t>F. PAGO</t>
  </si>
  <si>
    <t>F. EMISIÓN</t>
  </si>
  <si>
    <t>STATUS</t>
  </si>
  <si>
    <t>TIPO</t>
  </si>
  <si>
    <t>SERIE</t>
  </si>
  <si>
    <t>N°</t>
  </si>
  <si>
    <t>RAZON SOCIAL</t>
  </si>
  <si>
    <t>PROYECTO</t>
  </si>
  <si>
    <t>PC</t>
  </si>
  <si>
    <t>PC DETALLE</t>
  </si>
  <si>
    <t>DESCRIPCION</t>
  </si>
  <si>
    <t>FACTURADO A</t>
  </si>
  <si>
    <t>SUBTOTAL</t>
  </si>
  <si>
    <t>IGV</t>
  </si>
  <si>
    <t>IMPORTE</t>
  </si>
  <si>
    <t>SOLARIZADO SIN IGV</t>
  </si>
  <si>
    <t>SOLARIZADO CON IGV</t>
  </si>
  <si>
    <t>TIPO DET</t>
  </si>
  <si>
    <t>PORCENTAJE</t>
  </si>
  <si>
    <t>DETRACCION</t>
  </si>
  <si>
    <t>DESCUENTOS</t>
  </si>
  <si>
    <t>TOTAL PAGO</t>
  </si>
  <si>
    <t>CC</t>
  </si>
  <si>
    <t>C. DETRACCION</t>
  </si>
  <si>
    <t>Mes</t>
  </si>
  <si>
    <t>Año</t>
  </si>
  <si>
    <t>FECHA</t>
  </si>
  <si>
    <t>T. COMPRA</t>
  </si>
  <si>
    <t>T. VENTA</t>
  </si>
  <si>
    <t>BUSQUEDA</t>
  </si>
  <si>
    <t>DETRACCIÓN</t>
  </si>
  <si>
    <t>OBRAS PROVISIONALES  Y TRABAJOS PRELIMINARES</t>
  </si>
  <si>
    <t>Caseta Para Oficinas, Comedor y Cerco Perimétrico</t>
  </si>
  <si>
    <t>Servicios Higiénicos Para Staff y Obreros</t>
  </si>
  <si>
    <t>Traslado Vertical y Horizontal</t>
  </si>
  <si>
    <t>Equipos y Herramientas</t>
  </si>
  <si>
    <t>Varios - Obras Preliminares</t>
  </si>
  <si>
    <t>Topografía</t>
  </si>
  <si>
    <t>Servicios, Energía, Agua y Comunicaciones</t>
  </si>
  <si>
    <t>Eliminación de Desmonte y Limpieza Permanente</t>
  </si>
  <si>
    <t>Eliminación de Basura y Desmonte Con Cajas Ecológicas</t>
  </si>
  <si>
    <t>Control de Calidad</t>
  </si>
  <si>
    <t>Seguridad Industrial (Epp y Epc), Patrimonial</t>
  </si>
  <si>
    <t>Varios - Obras Provisionales</t>
  </si>
  <si>
    <t>ESTRUCTURAS</t>
  </si>
  <si>
    <t>Movimiento de Tierras</t>
  </si>
  <si>
    <t>Muros Anclados - Estabilización</t>
  </si>
  <si>
    <t>Concreto Cimentación</t>
  </si>
  <si>
    <t>Concreto Muros Anclados</t>
  </si>
  <si>
    <t>Concreto Estacionamientos</t>
  </si>
  <si>
    <t>Concreto Residencial</t>
  </si>
  <si>
    <t>Acero Cimentación</t>
  </si>
  <si>
    <t>Acero Muros Anclados</t>
  </si>
  <si>
    <t>Acero Estacionamientos</t>
  </si>
  <si>
    <t>Acero Residencial</t>
  </si>
  <si>
    <t>Encofrado Cimentación</t>
  </si>
  <si>
    <t>Encofrado Muros Anclados</t>
  </si>
  <si>
    <t>Encofrado Estacionamientos</t>
  </si>
  <si>
    <t>Encofrado Residencial</t>
  </si>
  <si>
    <t>Sistema de Losas Estacionamientos</t>
  </si>
  <si>
    <t>Sistema de Losas Residencial</t>
  </si>
  <si>
    <t>Varios - Estructura y Prefabricados</t>
  </si>
  <si>
    <t>ARQUITECTURA</t>
  </si>
  <si>
    <t>Muros de Albañilería</t>
  </si>
  <si>
    <t>Tarrajeo, Revoques y Enlucido</t>
  </si>
  <si>
    <t>Contrapiso y Acabados en Cemento</t>
  </si>
  <si>
    <t>Pisos de Enchape Cerámico y Porcelanato</t>
  </si>
  <si>
    <t>Otros Formatos de Pisos</t>
  </si>
  <si>
    <t>Drywall y Falso Cielo Raso</t>
  </si>
  <si>
    <t>Zócalos</t>
  </si>
  <si>
    <t>Contrazócalo</t>
  </si>
  <si>
    <t>Mármol, Granito, Cuarzo, Piedra</t>
  </si>
  <si>
    <t>Carpintería de Melamina</t>
  </si>
  <si>
    <t>Carpintería de Madera</t>
  </si>
  <si>
    <t>Carpintería Metálica</t>
  </si>
  <si>
    <t>Vidrios y Cristales</t>
  </si>
  <si>
    <t>Cerrajería</t>
  </si>
  <si>
    <t>Placas y Acabados Eléctricas</t>
  </si>
  <si>
    <t>Aparatos Sanitarios y Accesorios</t>
  </si>
  <si>
    <t>Grifería</t>
  </si>
  <si>
    <t>Coberturas</t>
  </si>
  <si>
    <t>Pintura y Recubrimiento</t>
  </si>
  <si>
    <t>Jardinería Interior</t>
  </si>
  <si>
    <t>Jardinería Exterior</t>
  </si>
  <si>
    <t>Otros, Obras Exteriores</t>
  </si>
  <si>
    <t>Papel y Molduras</t>
  </si>
  <si>
    <t>Varios - Arquitectura</t>
  </si>
  <si>
    <t>IIEE</t>
  </si>
  <si>
    <t>IIEE, Voz y Data en Casco</t>
  </si>
  <si>
    <t>IIEE, Voz y Data en Acabados</t>
  </si>
  <si>
    <t>Cables Alimentadores</t>
  </si>
  <si>
    <t>Tableros Eléctricos y Afines</t>
  </si>
  <si>
    <t>IISS</t>
  </si>
  <si>
    <t>IISS Redes de Agua y Desagüe</t>
  </si>
  <si>
    <t>A.C.I.</t>
  </si>
  <si>
    <t>IIEEMM</t>
  </si>
  <si>
    <t>II Electromecánicas</t>
  </si>
  <si>
    <t>GAS</t>
  </si>
  <si>
    <t xml:space="preserve"> Instalaciones de Gas</t>
  </si>
  <si>
    <t>VARIOS</t>
  </si>
  <si>
    <t>Daño a Terceros</t>
  </si>
  <si>
    <t>Termino de Obra y Proceso de entrega</t>
  </si>
  <si>
    <t>ADICIONALES</t>
  </si>
  <si>
    <t>Adicional Comercial</t>
  </si>
  <si>
    <t>Adicional de Obra</t>
  </si>
  <si>
    <t>GASTOS GENERALES</t>
  </si>
  <si>
    <t>Gastos Generales Indirectos</t>
  </si>
  <si>
    <t>Gastos Generales Directos (recursos para staff)</t>
  </si>
  <si>
    <t>Gastos de Personal ( Sueldos Staff)</t>
  </si>
  <si>
    <t>Paz Social</t>
  </si>
  <si>
    <t>F110</t>
  </si>
  <si>
    <t>ThinkPadE162daGen(Intel)¡Personaliz</t>
  </si>
  <si>
    <t>INVERSIONES PADOVA SAC</t>
  </si>
  <si>
    <t>20511063184</t>
  </si>
  <si>
    <t>SOL</t>
  </si>
  <si>
    <t/>
  </si>
  <si>
    <t>Lenovo (Asia Pacific) Limited Sucursal del Peru</t>
  </si>
  <si>
    <t>LOMAS DE CARABAYLLO 5</t>
  </si>
  <si>
    <t>OTROS SIN IGV</t>
  </si>
  <si>
    <t>FG</t>
  </si>
  <si>
    <t>F001</t>
  </si>
  <si>
    <t>SERVICIO - SOPORTE Y ACTUALIZACIONES ESPECIAL - ALMACENES S10 ERP</t>
  </si>
  <si>
    <t>CONSTRUCTORA PADOVA SAC</t>
  </si>
  <si>
    <t>20255390288</t>
  </si>
  <si>
    <t>DOLARES</t>
  </si>
  <si>
    <t>022</t>
  </si>
  <si>
    <t xml:space="preserve">SISTEMA 10 S.A.C. </t>
  </si>
  <si>
    <t>CONSTRUCTORA</t>
  </si>
  <si>
    <t>F103</t>
  </si>
  <si>
    <t>MOUSE STD WIRELESS TE1217 BK</t>
  </si>
  <si>
    <t>20212331377</t>
  </si>
  <si>
    <t>GRUPO DELTRON S.A.</t>
  </si>
  <si>
    <t>NBG LOQ 15 I5-12 24 512 V6G FR</t>
  </si>
  <si>
    <t>E001</t>
  </si>
  <si>
    <t>SERVICIO DE ENCHAPE DE CERAMICO</t>
  </si>
  <si>
    <t>10449760633</t>
  </si>
  <si>
    <t>SOTELO ORTEGA ROBERT LUCIANO</t>
  </si>
  <si>
    <t>SERVICIO DE PINTURO - LAVANDERIA F21</t>
  </si>
  <si>
    <t>FR03</t>
  </si>
  <si>
    <t>Renovacion 2 Años en el ccTLD.pe 21/06/2025-20/06/2027-litoral900.pe</t>
  </si>
  <si>
    <t>INVERSIONES SAURIS SAC</t>
  </si>
  <si>
    <t>20111451592</t>
  </si>
  <si>
    <t>RED CIENTIFICA PERUANA</t>
  </si>
  <si>
    <t>LITORAL 900</t>
  </si>
  <si>
    <t>NB LEN TB 16 ULTRA7/16/1S/FREE</t>
  </si>
  <si>
    <t>F020</t>
  </si>
  <si>
    <t>Camara Cloud WIFI IMOU Bullet 2E IPC-K3D-5H0WF 5MP 3K</t>
  </si>
  <si>
    <t>20269315688</t>
  </si>
  <si>
    <t>DISTRIBUIDORA MESAJIL HNOS. S.A.C.</t>
  </si>
  <si>
    <t>FI25</t>
  </si>
  <si>
    <t>UNIDAD SSD M.2 PCIe 1.24TB KINGSTON KC3000</t>
  </si>
  <si>
    <t>INVERSIONES  PADOVA SAC</t>
  </si>
  <si>
    <t>20506717044</t>
  </si>
  <si>
    <t>MEMORY KINGS PERU S.A.C.</t>
  </si>
  <si>
    <t>UNIDAD SSD M.2 PCIe 512GB KINGSTON KC3000</t>
  </si>
  <si>
    <t>RECONSTRUCCIÓN DE BISAGRA DE PANTALLA Y MANTENIMIENTO FISICO PREVENTIVO DE LAPTOP</t>
  </si>
  <si>
    <t>20612474525</t>
  </si>
  <si>
    <t>INVERSIONES URQUIA E.I.R.L.</t>
  </si>
  <si>
    <t>VALORIZACION 29 ENCOFRADO Y DESENCOFRADO PROYECTO LITORAL SEGUN OS-0055 FONDO DE GARANTIA 5% 2,700.04 NETO A COBRAR 49,140.75</t>
  </si>
  <si>
    <t>20516651556</t>
  </si>
  <si>
    <t>030</t>
  </si>
  <si>
    <t>PAHUARA CONTRATISTAS GENERALES E.I.R.L.</t>
  </si>
  <si>
    <t>VALORIZACION 32 ENCOFRADO Y DESENCOFRADO PROYECTO LITORAL SEGUN OS-0055 FONDO DE GARANTIA 5% 2,700.04 NETO A COBRAR 49,140.75</t>
  </si>
  <si>
    <t>PINTADO PUERTA DE LAVANDERIA - LC4</t>
  </si>
  <si>
    <t>10095654628</t>
  </si>
  <si>
    <t>AIRE PEREZ CARLOS DANIEL</t>
  </si>
  <si>
    <t>PINTURA DE FACHADA EN DUCTOS - LC4</t>
  </si>
  <si>
    <t>10718451707</t>
  </si>
  <si>
    <t>VASQUEZ VASQUEZ JOSE VEYKER</t>
  </si>
  <si>
    <t>20523824598</t>
  </si>
  <si>
    <t>000-1034430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</si>
</sst>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-* #,##0.00_-;\-* #,##0.00_-;_-* &quot;-&quot;??_-;_-@_-"/>
    <numFmt numFmtId="164" formatCode="_-&quot;S/&quot;\ * #,##0.00_-;\-&quot;S/&quot;\ * #,##0.00_-;_-&quot;S/&quot;\ * &quot;-&quot;??_-;_-@_-"/>
    <numFmt numFmtId="165" formatCode="_(&quot;S/&quot;* #,##0.00_);_(&quot;S/&quot;* \(#,##0.00\);_(&quot;S/&quot;* &quot;-&quot;??_);_(@_)"/>
    <numFmt numFmtId="166" formatCode="_(* #,##0.00_);_(* \(#,##0.00\);_(* &quot;-&quot;??_);_(@_)"/>
    <numFmt numFmtId="167" formatCode="_ * #,##0.00_ ;_ * \-#,##0.00_ ;_ * &quot;-&quot;??_ ;_ @_ "/>
    <numFmt numFmtId="168" formatCode="_ &quot;S/.&quot;\ * #,##0.00_ ;_ &quot;S/.&quot;\ * \-#,##0.00_ ;_ &quot;S/.&quot;\ * &quot;-&quot;??_ ;_ @_ "/>
    <numFmt numFmtId="169" formatCode="_(&quot;R$ &quot;* #,##0.00_);_(&quot;R$ &quot;* \(#,##0.00\);_(&quot;R$ &quot;* &quot;-&quot;??_);_(@_)"/>
    <numFmt numFmtId="170" formatCode="_(* #,##0.000_);_(* \(#,##0.000\);_(* &quot;-&quot;??_);_(@_)"/>
    <numFmt numFmtId="171" formatCode="_ * #,##0_ ;_ * \-#,##0_ ;_ * &quot;-&quot;??_ ;_ @_ "/>
    <numFmt numFmtId="172" formatCode="mmm"/>
    <numFmt numFmtId="173" formatCode="d/mm/yyyy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ova Cond"/>
      <family val="2"/>
    </font>
    <font>
      <sz val="10"/>
      <color theme="1"/>
      <name val="Arial Nova Cond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Arial"/>
      <family val="2"/>
    </font>
    <font>
      <u/>
      <sz val="12"/>
      <color theme="10"/>
      <name val="Arial"/>
      <family val="2"/>
    </font>
    <font>
      <sz val="11"/>
      <color indexed="8"/>
      <name val="Calibri"/>
      <family val="2"/>
      <charset val="1"/>
    </font>
    <font>
      <u/>
      <sz val="11"/>
      <color theme="10"/>
      <name val="Calibri"/>
      <family val="2"/>
      <charset val="1"/>
    </font>
    <font>
      <sz val="10"/>
      <name val="Arial Nova Cond"/>
      <family val="2"/>
    </font>
    <font>
      <sz val="10"/>
      <color theme="1" tint="4.9989318521683403E-2"/>
      <name val="Arial Nova Cond"/>
      <family val="2"/>
    </font>
    <font>
      <b/>
      <sz val="10"/>
      <color theme="1"/>
      <name val="Arial Nova Cond"/>
      <family val="2"/>
    </font>
    <font>
      <sz val="9"/>
      <color theme="1"/>
      <name val="Arial Nova Cond"/>
      <family val="2"/>
    </font>
    <font>
      <b/>
      <sz val="10"/>
      <name val="Arial Nova Cond"/>
      <family val="2"/>
    </font>
    <font>
      <sz val="9"/>
      <name val="Arial Nova Con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6">
    <xf numFmtId="0" fontId="0" fillId="0" borderId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0" fontId="10" fillId="0" borderId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" fillId="0" borderId="0"/>
    <xf numFmtId="0" fontId="8" fillId="0" borderId="0"/>
    <xf numFmtId="164" fontId="10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10" fillId="0" borderId="0" applyFont="0" applyFill="0" applyBorder="0" applyAlignment="0" applyProtection="0"/>
    <xf numFmtId="0" fontId="12" fillId="0" borderId="0"/>
    <xf numFmtId="0" fontId="13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7" fillId="0" borderId="0" xfId="0" applyFont="1"/>
    <xf numFmtId="49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70" fontId="2" fillId="0" borderId="0" xfId="1" applyNumberFormat="1" applyFont="1" applyFill="1" applyBorder="1"/>
    <xf numFmtId="0" fontId="2" fillId="0" borderId="0" xfId="0" applyFont="1"/>
    <xf numFmtId="0" fontId="2" fillId="2" borderId="0" xfId="0" applyFont="1" applyFill="1"/>
    <xf numFmtId="1" fontId="2" fillId="0" borderId="3" xfId="0" applyNumberFormat="1" applyFont="1" applyBorder="1" applyAlignment="1">
      <alignment horizontal="left"/>
    </xf>
    <xf numFmtId="0" fontId="2" fillId="0" borderId="0" xfId="0" applyFont="1" applyAlignment="1">
      <alignment vertical="center"/>
    </xf>
    <xf numFmtId="0" fontId="2" fillId="2" borderId="0" xfId="0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  <xf numFmtId="167" fontId="2" fillId="2" borderId="0" xfId="1" applyFont="1" applyFill="1"/>
    <xf numFmtId="172" fontId="2" fillId="2" borderId="0" xfId="0" applyNumberFormat="1" applyFont="1" applyFill="1" applyAlignment="1">
      <alignment horizontal="center" vertical="center"/>
    </xf>
    <xf numFmtId="0" fontId="15" fillId="0" borderId="15" xfId="0" applyFont="1" applyBorder="1" applyAlignment="1">
      <alignment horizontal="left"/>
    </xf>
    <xf numFmtId="0" fontId="15" fillId="0" borderId="4" xfId="0" applyFont="1" applyBorder="1" applyAlignment="1">
      <alignment horizontal="left"/>
    </xf>
    <xf numFmtId="0" fontId="15" fillId="0" borderId="6" xfId="0" applyFont="1" applyBorder="1" applyAlignment="1">
      <alignment horizontal="left"/>
    </xf>
    <xf numFmtId="1" fontId="2" fillId="0" borderId="5" xfId="0" applyNumberFormat="1" applyFont="1" applyBorder="1" applyAlignment="1">
      <alignment horizontal="left"/>
    </xf>
    <xf numFmtId="1" fontId="2" fillId="0" borderId="14" xfId="0" applyNumberFormat="1" applyFont="1" applyBorder="1" applyAlignment="1">
      <alignment horizontal="left"/>
    </xf>
    <xf numFmtId="1" fontId="2" fillId="0" borderId="16" xfId="0" applyNumberFormat="1" applyFont="1" applyBorder="1" applyAlignment="1">
      <alignment horizontal="left"/>
    </xf>
    <xf numFmtId="1" fontId="2" fillId="0" borderId="8" xfId="0" applyNumberFormat="1" applyFont="1" applyBorder="1" applyAlignment="1">
      <alignment horizontal="left"/>
    </xf>
    <xf numFmtId="1" fontId="2" fillId="0" borderId="17" xfId="0" applyNumberFormat="1" applyFont="1" applyBorder="1" applyAlignment="1">
      <alignment horizontal="left"/>
    </xf>
    <xf numFmtId="0" fontId="15" fillId="0" borderId="7" xfId="0" applyFont="1" applyBorder="1" applyAlignment="1">
      <alignment horizontal="left"/>
    </xf>
    <xf numFmtId="1" fontId="2" fillId="0" borderId="9" xfId="0" applyNumberFormat="1" applyFont="1" applyBorder="1" applyAlignment="1">
      <alignment horizontal="left"/>
    </xf>
    <xf numFmtId="1" fontId="2" fillId="0" borderId="18" xfId="0" applyNumberFormat="1" applyFont="1" applyBorder="1" applyAlignment="1">
      <alignment horizontal="left"/>
    </xf>
    <xf numFmtId="0" fontId="15" fillId="0" borderId="19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49" fontId="18" fillId="4" borderId="11" xfId="28" applyNumberFormat="1" applyFont="1" applyFill="1" applyBorder="1" applyAlignment="1">
      <alignment horizontal="center" vertical="center"/>
    </xf>
    <xf numFmtId="49" fontId="18" fillId="4" borderId="10" xfId="28" applyNumberFormat="1" applyFont="1" applyFill="1" applyBorder="1" applyAlignment="1">
      <alignment horizontal="center" vertical="center"/>
    </xf>
    <xf numFmtId="1" fontId="2" fillId="0" borderId="20" xfId="0" applyNumberFormat="1" applyFont="1" applyBorder="1" applyAlignment="1">
      <alignment horizontal="center"/>
    </xf>
    <xf numFmtId="1" fontId="2" fillId="0" borderId="21" xfId="0" applyNumberFormat="1" applyFont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49" fontId="18" fillId="4" borderId="12" xfId="28" applyNumberFormat="1" applyFont="1" applyFill="1" applyBorder="1" applyAlignment="1">
      <alignment horizontal="center" vertical="center"/>
    </xf>
    <xf numFmtId="49" fontId="18" fillId="4" borderId="11" xfId="28" applyNumberFormat="1" applyFont="1" applyFill="1" applyBorder="1" applyAlignment="1">
      <alignment horizontal="center" vertical="center"/>
    </xf>
    <xf numFmtId="49" fontId="18" fillId="5" borderId="12" xfId="28" applyNumberFormat="1" applyFont="1" applyFill="1" applyBorder="1" applyAlignment="1">
      <alignment horizontal="center" vertical="center" wrapText="1"/>
    </xf>
    <xf numFmtId="49" fontId="18" fillId="5" borderId="1" xfId="28" applyNumberFormat="1" applyFont="1" applyFill="1" applyBorder="1" applyAlignment="1">
      <alignment horizontal="center" vertical="center" wrapText="1"/>
    </xf>
    <xf numFmtId="49" fontId="18" fillId="5" borderId="11" xfId="28" applyNumberFormat="1" applyFont="1" applyFill="1" applyBorder="1" applyAlignment="1">
      <alignment horizontal="center" vertical="center" wrapText="1"/>
    </xf>
    <xf numFmtId="49" fontId="18" fillId="4" borderId="12" xfId="28" applyNumberFormat="1" applyFont="1" applyFill="1" applyBorder="1" applyAlignment="1">
      <alignment horizontal="center" vertical="center" wrapText="1"/>
    </xf>
    <xf numFmtId="49" fontId="18" fillId="4" borderId="1" xfId="28" applyNumberFormat="1" applyFont="1" applyFill="1" applyBorder="1" applyAlignment="1">
      <alignment horizontal="center" vertical="center" wrapText="1"/>
    </xf>
    <xf numFmtId="49" fontId="18" fillId="4" borderId="11" xfId="28" applyNumberFormat="1" applyFont="1" applyFill="1" applyBorder="1" applyAlignment="1">
      <alignment horizontal="center" vertical="center" wrapText="1"/>
    </xf>
    <xf numFmtId="49" fontId="18" fillId="4" borderId="1" xfId="28" applyNumberFormat="1" applyFont="1" applyFill="1" applyBorder="1" applyAlignment="1">
      <alignment horizontal="center" vertical="center"/>
    </xf>
    <xf numFmtId="1" fontId="1" fillId="0" borderId="21" xfId="0" applyNumberFormat="1" applyFont="1" applyBorder="1" applyAlignment="1">
      <alignment horizontal="center"/>
    </xf>
    <xf numFmtId="49" fontId="14" fillId="0" borderId="3" xfId="0" applyNumberFormat="1" applyFont="1" applyFill="1" applyBorder="1" applyAlignment="1" applyProtection="1">
      <alignment horizontal="center" vertical="center" wrapText="1"/>
      <protection locked="0"/>
    </xf>
    <xf numFmtId="9" fontId="14" fillId="0" borderId="3" xfId="16" applyFont="1" applyFill="1" applyBorder="1" applyAlignment="1" applyProtection="1">
      <alignment horizontal="center" vertical="center" wrapText="1"/>
      <protection locked="0"/>
    </xf>
    <xf numFmtId="167" fontId="14" fillId="0" borderId="3" xfId="1" applyFont="1" applyFill="1" applyBorder="1" applyAlignment="1" applyProtection="1">
      <alignment horizontal="center" vertical="center" wrapText="1"/>
      <protection locked="0"/>
    </xf>
    <xf numFmtId="2" fontId="14" fillId="0" borderId="3" xfId="0" applyNumberFormat="1" applyFont="1" applyFill="1" applyBorder="1" applyAlignment="1" applyProtection="1">
      <alignment horizontal="center" vertical="center" wrapText="1"/>
      <protection locked="0"/>
    </xf>
    <xf numFmtId="49" fontId="17" fillId="3" borderId="0" xfId="0" applyNumberFormat="1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left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Protection="1">
      <protection locked="0"/>
    </xf>
    <xf numFmtId="0" fontId="14" fillId="2" borderId="24" xfId="0" applyFont="1" applyFill="1" applyBorder="1" applyAlignment="1" applyProtection="1">
      <alignment horizontal="center" vertical="center" wrapText="1"/>
    </xf>
    <xf numFmtId="167" fontId="14" fillId="2" borderId="24" xfId="1" applyFont="1" applyFill="1" applyBorder="1" applyAlignment="1" applyProtection="1">
      <alignment horizontal="center" vertical="center" wrapText="1"/>
    </xf>
    <xf numFmtId="172" fontId="14" fillId="2" borderId="24" xfId="0" applyNumberFormat="1" applyFont="1" applyFill="1" applyBorder="1" applyAlignment="1" applyProtection="1">
      <alignment horizontal="center" vertical="center" wrapText="1"/>
    </xf>
    <xf numFmtId="0" fontId="14" fillId="0" borderId="3" xfId="0" applyNumberFormat="1" applyFont="1" applyFill="1" applyBorder="1" applyAlignment="1" applyProtection="1">
      <alignment horizontal="center" vertical="center" wrapText="1"/>
    </xf>
    <xf numFmtId="0" fontId="14" fillId="0" borderId="3" xfId="0" applyFont="1" applyFill="1" applyBorder="1" applyAlignment="1" applyProtection="1">
      <alignment horizontal="center" vertical="center" wrapText="1"/>
    </xf>
    <xf numFmtId="167" fontId="14" fillId="0" borderId="3" xfId="1" applyFont="1" applyFill="1" applyBorder="1" applyAlignment="1" applyProtection="1">
      <alignment horizontal="center" vertical="center" wrapText="1"/>
    </xf>
    <xf numFmtId="167" fontId="14" fillId="0" borderId="3" xfId="1" applyNumberFormat="1" applyFont="1" applyFill="1" applyBorder="1" applyAlignment="1" applyProtection="1">
      <alignment horizontal="center" vertical="center" wrapText="1"/>
    </xf>
    <xf numFmtId="172" fontId="14" fillId="0" borderId="3" xfId="0" applyNumberFormat="1" applyFont="1" applyFill="1" applyBorder="1" applyAlignment="1" applyProtection="1">
      <alignment horizontal="center" vertical="center" wrapText="1"/>
    </xf>
    <xf numFmtId="14" fontId="14" fillId="2" borderId="24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24" xfId="0" applyFont="1" applyFill="1" applyBorder="1" applyAlignment="1" applyProtection="1">
      <alignment horizontal="center" vertical="center" wrapText="1"/>
      <protection locked="0"/>
    </xf>
    <xf numFmtId="0" fontId="14" fillId="2" borderId="24" xfId="0" applyFont="1" applyFill="1" applyBorder="1" applyAlignment="1" applyProtection="1">
      <alignment horizontal="left" vertical="center" wrapText="1"/>
      <protection locked="0"/>
    </xf>
    <xf numFmtId="49" fontId="14" fillId="2" borderId="24" xfId="0" applyNumberFormat="1" applyFont="1" applyFill="1" applyBorder="1" applyAlignment="1" applyProtection="1">
      <alignment horizontal="center" vertical="center" wrapText="1"/>
      <protection locked="0"/>
    </xf>
    <xf numFmtId="14" fontId="7" fillId="0" borderId="3" xfId="55" applyNumberFormat="1" applyFill="1" applyBorder="1" applyAlignment="1" applyProtection="1">
      <alignment horizontal="center"/>
      <protection locked="0"/>
    </xf>
    <xf numFmtId="173" fontId="14" fillId="0" borderId="3" xfId="0" applyNumberFormat="1" applyFont="1" applyFill="1" applyBorder="1" applyAlignment="1" applyProtection="1">
      <alignment horizontal="center"/>
      <protection locked="0"/>
    </xf>
    <xf numFmtId="14" fontId="14" fillId="0" borderId="3" xfId="0" applyNumberFormat="1" applyFont="1" applyFill="1" applyBorder="1" applyAlignment="1" applyProtection="1">
      <alignment horizontal="center"/>
      <protection locked="0"/>
    </xf>
    <xf numFmtId="0" fontId="14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left"/>
      <protection locked="0"/>
    </xf>
    <xf numFmtId="0" fontId="14" fillId="0" borderId="3" xfId="0" applyFont="1" applyFill="1" applyBorder="1" applyAlignment="1" applyProtection="1">
      <alignment horizontal="center"/>
      <protection locked="0"/>
    </xf>
    <xf numFmtId="1" fontId="14" fillId="0" borderId="3" xfId="0" applyNumberFormat="1" applyFont="1" applyFill="1" applyBorder="1" applyAlignment="1" applyProtection="1">
      <alignment horizontal="left"/>
      <protection locked="0"/>
    </xf>
    <xf numFmtId="0" fontId="14" fillId="0" borderId="3" xfId="0" applyNumberFormat="1" applyFont="1" applyFill="1" applyBorder="1" applyAlignment="1" applyProtection="1">
      <alignment horizontal="left"/>
      <protection locked="0"/>
    </xf>
    <xf numFmtId="14" fontId="2" fillId="2" borderId="0" xfId="1" applyNumberFormat="1" applyFont="1" applyFill="1" applyAlignment="1" applyProtection="1">
      <alignment horizontal="center"/>
      <protection locked="0"/>
    </xf>
    <xf numFmtId="14" fontId="2" fillId="2" borderId="0" xfId="0" applyNumberFormat="1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left"/>
      <protection locked="0"/>
    </xf>
    <xf numFmtId="49" fontId="2" fillId="2" borderId="0" xfId="0" applyNumberFormat="1" applyFont="1" applyFill="1" applyProtection="1">
      <protection locked="0"/>
    </xf>
    <xf numFmtId="167" fontId="14" fillId="2" borderId="24" xfId="1" applyFont="1" applyFill="1" applyBorder="1" applyAlignment="1" applyProtection="1">
      <alignment horizontal="center" vertical="center" wrapText="1"/>
      <protection locked="0"/>
    </xf>
    <xf numFmtId="171" fontId="14" fillId="2" borderId="24" xfId="1" applyNumberFormat="1" applyFont="1" applyFill="1" applyBorder="1" applyAlignment="1" applyProtection="1">
      <alignment horizontal="center" vertical="center" wrapText="1"/>
      <protection locked="0"/>
    </xf>
    <xf numFmtId="171" fontId="2" fillId="2" borderId="0" xfId="0" applyNumberFormat="1" applyFont="1" applyFill="1" applyProtection="1">
      <protection locked="0"/>
    </xf>
    <xf numFmtId="49" fontId="17" fillId="0" borderId="0" xfId="0" applyNumberFormat="1" applyFont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49" fontId="17" fillId="0" borderId="0" xfId="0" applyNumberFormat="1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9" fillId="6" borderId="0" xfId="0" applyFont="1" applyFill="1" applyAlignment="1">
      <alignment horizontal="left" vertical="center"/>
    </xf>
    <xf numFmtId="0" fontId="19" fillId="6" borderId="0" xfId="0" applyFont="1" applyFill="1" applyAlignment="1">
      <alignment horizontal="center" vertical="center"/>
    </xf>
    <xf numFmtId="0" fontId="14" fillId="0" borderId="3" xfId="0" applyFont="1" applyFill="1" applyBorder="1" applyAlignment="1" applyProtection="1">
      <alignment horizontal="left" vertical="center"/>
      <protection locked="0"/>
    </xf>
  </cellXfs>
  <cellStyles count="56">
    <cellStyle name="Hipervínculo" xfId="55" builtinId="8"/>
    <cellStyle name="Hipervínculo 2" xfId="39" xr:uid="{7AC3E0DF-40C8-45D0-91E0-7E4C40929DCF}"/>
    <cellStyle name="Hipervínculo 3" xfId="37" xr:uid="{5A706131-AA36-48D1-B44C-E362F236EB80}"/>
    <cellStyle name="Hipervínculo 4" xfId="48" xr:uid="{70D5009C-7DF8-4A2E-8B8E-7E314135A245}"/>
    <cellStyle name="Hyperlink 2" xfId="42" xr:uid="{30D773E1-A542-41BD-A338-91F57F92AA7A}"/>
    <cellStyle name="Millares" xfId="1" builtinId="3"/>
    <cellStyle name="Millares 10" xfId="2" xr:uid="{00000000-0005-0000-0000-000001000000}"/>
    <cellStyle name="Millares 10 2" xfId="3" xr:uid="{00000000-0005-0000-0000-000002000000}"/>
    <cellStyle name="Millares 2" xfId="4" xr:uid="{00000000-0005-0000-0000-000003000000}"/>
    <cellStyle name="Millares 2 2" xfId="5" xr:uid="{00000000-0005-0000-0000-000004000000}"/>
    <cellStyle name="Millares 2 2 2" xfId="19" xr:uid="{897ADD7E-B3A9-494D-AC29-6C805E228990}"/>
    <cellStyle name="Millares 2 2 2 2" xfId="25" xr:uid="{F85FCF7C-8938-4BA5-9B3E-6D642B347771}"/>
    <cellStyle name="Millares 2 2 3" xfId="23" xr:uid="{AC8137EC-AC3E-4C0A-8BCA-B49151674321}"/>
    <cellStyle name="Millares 2 3" xfId="6" xr:uid="{00000000-0005-0000-0000-000005000000}"/>
    <cellStyle name="Millares 2 5" xfId="7" xr:uid="{00000000-0005-0000-0000-000006000000}"/>
    <cellStyle name="Millares 3" xfId="8" xr:uid="{00000000-0005-0000-0000-000007000000}"/>
    <cellStyle name="Millares 4" xfId="9" xr:uid="{00000000-0005-0000-0000-000008000000}"/>
    <cellStyle name="Millares 5" xfId="22" xr:uid="{E65BA606-5626-424B-AA38-2C4E76A6ECDB}"/>
    <cellStyle name="Millares 6" xfId="49" xr:uid="{98594ADA-5A01-41E3-9F95-E7915AD982EA}"/>
    <cellStyle name="Millares 7" xfId="54" xr:uid="{BA4F3246-582B-48AD-B1FD-6BD7A1BB0D8E}"/>
    <cellStyle name="Moeda 4" xfId="10" xr:uid="{00000000-0005-0000-0000-000009000000}"/>
    <cellStyle name="Moneda 2" xfId="17" xr:uid="{D10C3627-A1BA-4E6E-BA37-4B580F736A9A}"/>
    <cellStyle name="Moneda 2 2" xfId="20" xr:uid="{B4FD5173-7BDB-44A7-8D90-21EEBF7B412C}"/>
    <cellStyle name="Moneda 2 2 2" xfId="35" xr:uid="{CA3196C1-C6C2-41DD-86BB-FFA386EDBC0B}"/>
    <cellStyle name="Moneda 2 2 3" xfId="52" xr:uid="{8F03252B-79C8-4490-8DC3-6223369F07BA}"/>
    <cellStyle name="Moneda 2 3" xfId="43" xr:uid="{10A5E656-AB8E-4653-8EFB-0371BAA2D74C}"/>
    <cellStyle name="Moneda 2 4" xfId="53" xr:uid="{EDF1C518-0391-4E13-8205-222D8EF94FAA}"/>
    <cellStyle name="Moneda 3" xfId="24" xr:uid="{9B499CD0-9B29-4BB9-99A1-7E5A9D2F1686}"/>
    <cellStyle name="Moneda 3 2" xfId="34" xr:uid="{C2DE5B1B-359E-45E9-800F-54A83B1E8588}"/>
    <cellStyle name="Moneda 3 3" xfId="51" xr:uid="{347A4976-4A51-42D1-99C6-32C0D259A3B7}"/>
    <cellStyle name="Moneda 4" xfId="30" xr:uid="{CEA0A01F-F75F-4B9D-954C-9BF2CDC8CF3D}"/>
    <cellStyle name="Moneda 4 2" xfId="50" xr:uid="{586A6CD9-0ED1-4E81-9F00-77E46ED6587F}"/>
    <cellStyle name="Normal" xfId="0" builtinId="0"/>
    <cellStyle name="Normal - Style1" xfId="11" xr:uid="{00000000-0005-0000-0000-00000C000000}"/>
    <cellStyle name="Normal 18" xfId="27" xr:uid="{8AC95A9A-0DC2-40F2-8BE2-D45327FEB06E}"/>
    <cellStyle name="Normal 2" xfId="12" xr:uid="{00000000-0005-0000-0000-00000D000000}"/>
    <cellStyle name="Normal 2 2" xfId="28" xr:uid="{C29935A0-A865-4C86-8CFC-5103DE4056E2}"/>
    <cellStyle name="Normal 2 4" xfId="18" xr:uid="{C445FEF1-109D-4A91-BAB4-69D45569A760}"/>
    <cellStyle name="Normal 25 2" xfId="33" xr:uid="{FF71F77D-D422-41E2-B9C6-3309D02D3FF7}"/>
    <cellStyle name="Normal 3" xfId="38" xr:uid="{779524D7-A3F5-4873-907B-CF9DB499541D}"/>
    <cellStyle name="Normal 3 2" xfId="44" xr:uid="{046D953F-DED6-4787-8612-84899F17E4EB}"/>
    <cellStyle name="Normal 4" xfId="26" xr:uid="{75E580F7-6A9B-42CF-8CD2-9DBB09234EDD}"/>
    <cellStyle name="Normal 4 2" xfId="36" xr:uid="{1840F661-E5AF-4A50-B040-0A22E815B891}"/>
    <cellStyle name="Normal 5" xfId="32" xr:uid="{7A0763B0-6627-4A9C-BCD6-2B79DE5CB8FA}"/>
    <cellStyle name="Normal 5 2" xfId="41" xr:uid="{3F44D9A6-835F-4DA1-B09C-0D41CD29861F}"/>
    <cellStyle name="Normal 6" xfId="40" xr:uid="{1B073B92-7715-4789-BE97-8DBB2BC4B4D9}"/>
    <cellStyle name="Normal 6 2" xfId="45" xr:uid="{B53B48C1-35FE-40B4-9863-30EBC16E956C}"/>
    <cellStyle name="Normal 7" xfId="29" xr:uid="{FA4F4FB5-901A-470C-BC2C-17E7B17A6F34}"/>
    <cellStyle name="Normal 8" xfId="21" xr:uid="{E7480027-6D77-4166-BBF2-6441F4498DD3}"/>
    <cellStyle name="Normal 8 2" xfId="47" xr:uid="{005C69B7-6671-4A91-904F-4C0F9F044D37}"/>
    <cellStyle name="Porcentaje" xfId="16" builtinId="5"/>
    <cellStyle name="Porcentaje 2" xfId="13" xr:uid="{00000000-0005-0000-0000-00000E000000}"/>
    <cellStyle name="Porcentaje 2 2" xfId="46" xr:uid="{1241F81A-643C-46F9-8303-8F5158B76F00}"/>
    <cellStyle name="Porcentaje 3" xfId="14" xr:uid="{00000000-0005-0000-0000-00000F000000}"/>
    <cellStyle name="Porcentaje 3 2" xfId="31" xr:uid="{74ACE4F8-77CB-48BC-9741-45A1E7C49255}"/>
    <cellStyle name="Porcentual 6" xfId="15" xr:uid="{00000000-0005-0000-0000-000010000000}"/>
  </cellStyles>
  <dxfs count="84"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73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73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/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Nova Cond"/>
        <family val="2"/>
        <scheme val="none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72" formatCode="mmm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Arial Nova Cond"/>
        <family val="2"/>
        <scheme val="none"/>
      </font>
      <numFmt numFmtId="0" formatCode="General"/>
      <fill>
        <patternFill patternType="solid">
          <fgColor indexed="64"/>
          <bgColor rgb="FF00FF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 Nova Cond"/>
        <family val="2"/>
        <scheme val="none"/>
      </font>
      <fill>
        <patternFill patternType="solid">
          <fgColor indexed="64"/>
          <bgColor rgb="FF00FF0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 Cond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  <numFmt numFmtId="170" formatCode="_(* #,##0.000_);_(* \(#,##0.0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  <numFmt numFmtId="170" formatCode="_(* #,##0.000_);_(* \(#,##0.0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  <numFmt numFmtId="174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4" formatCode="dd/mm/yyyy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rial Nova Cond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Cond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1"/>
          <bgColor theme="1"/>
        </patternFill>
      </fill>
    </dxf>
  </dxfs>
  <tableStyles count="3" defaultTableStyle="TableStyleMedium2" defaultPivotStyle="PivotStyleLight16">
    <tableStyle name="CV-HELIO-style" pivot="0" count="4" xr9:uid="{84287761-632B-4810-8567-DC3C863AB5FC}">
      <tableStyleElement type="headerRow" dxfId="83"/>
      <tableStyleElement type="totalRow" dxfId="82"/>
      <tableStyleElement type="firstRowStripe" dxfId="81"/>
      <tableStyleElement type="secondRowStripe" dxfId="80"/>
    </tableStyle>
    <tableStyle name="Prospectos-style" pivot="0" count="3" xr9:uid="{D34C2D88-AC4E-49C2-98AA-40BC90EA4BD0}">
      <tableStyleElement type="headerRow" dxfId="79"/>
      <tableStyleElement type="firstRowStripe" dxfId="78"/>
      <tableStyleElement type="secondRowStripe" dxfId="77"/>
    </tableStyle>
    <tableStyle name="Gift Card-style" pivot="0" count="3" xr9:uid="{60F61897-7734-41EC-8C1B-37F7EB2124E4}">
      <tableStyleElement type="headerRow" dxfId="76"/>
      <tableStyleElement type="firstRowStripe" dxfId="75"/>
      <tableStyleElement type="secondRowStripe" dxfId="74"/>
    </tableStyle>
  </tableStyles>
  <colors>
    <mruColors>
      <color rgb="FF00FF00"/>
      <color rgb="FFF6F660"/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449306</xdr:colOff>
      <xdr:row>0</xdr:row>
      <xdr:rowOff>0</xdr:rowOff>
    </xdr:from>
    <xdr:to>
      <xdr:col>12</xdr:col>
      <xdr:colOff>1597101</xdr:colOff>
      <xdr:row>0</xdr:row>
      <xdr:rowOff>324000</xdr:rowOff>
    </xdr:to>
    <xdr:sp macro="[0]!ExtractDataFromXML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5ED39EE-142B-DC6A-E9CF-75AD4250C2B2}"/>
            </a:ext>
          </a:extLst>
        </xdr:cNvPr>
        <xdr:cNvSpPr>
          <a:spLocks noChangeAspect="1"/>
        </xdr:cNvSpPr>
      </xdr:nvSpPr>
      <xdr:spPr>
        <a:xfrm>
          <a:off x="14832056" y="0"/>
          <a:ext cx="1147795" cy="32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PE" sz="1200" b="1">
              <a:latin typeface="Arial Nova Cond" panose="020B0506020202020204" pitchFamily="34" charset="0"/>
            </a:rPr>
            <a:t>EXTRAER XML</a:t>
          </a:r>
        </a:p>
      </xdr:txBody>
    </xdr:sp>
    <xdr:clientData/>
  </xdr:twoCellAnchor>
  <xdr:twoCellAnchor>
    <xdr:from>
      <xdr:col>13</xdr:col>
      <xdr:colOff>795984</xdr:colOff>
      <xdr:row>0</xdr:row>
      <xdr:rowOff>0</xdr:rowOff>
    </xdr:from>
    <xdr:to>
      <xdr:col>13</xdr:col>
      <xdr:colOff>2069319</xdr:colOff>
      <xdr:row>0</xdr:row>
      <xdr:rowOff>320400</xdr:rowOff>
    </xdr:to>
    <xdr:sp macro="[0]!EnviarDocumentosPag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69B91D8-C9DA-41E9-A128-BE459F493BFB}"/>
            </a:ext>
          </a:extLst>
        </xdr:cNvPr>
        <xdr:cNvSpPr>
          <a:spLocks/>
        </xdr:cNvSpPr>
      </xdr:nvSpPr>
      <xdr:spPr>
        <a:xfrm>
          <a:off x="17491948" y="0"/>
          <a:ext cx="1273335" cy="3204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PE" sz="1200" b="1">
              <a:latin typeface="Arial Nova Cond" panose="020B0506020202020204" pitchFamily="34" charset="0"/>
            </a:rPr>
            <a:t>ENVIAR CORREO</a:t>
          </a:r>
        </a:p>
      </xdr:txBody>
    </xdr:sp>
    <xdr:clientData/>
  </xdr:twoCellAnchor>
  <xdr:twoCellAnchor>
    <xdr:from>
      <xdr:col>12</xdr:col>
      <xdr:colOff>1845074</xdr:colOff>
      <xdr:row>0</xdr:row>
      <xdr:rowOff>0</xdr:rowOff>
    </xdr:from>
    <xdr:to>
      <xdr:col>13</xdr:col>
      <xdr:colOff>553726</xdr:colOff>
      <xdr:row>0</xdr:row>
      <xdr:rowOff>324000</xdr:rowOff>
    </xdr:to>
    <xdr:sp macro="[0]!ProcesarVariosXML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43ECA05-BFBB-4ACB-AE8B-E0B85C84D583}"/>
            </a:ext>
          </a:extLst>
        </xdr:cNvPr>
        <xdr:cNvSpPr>
          <a:spLocks noChangeAspect="1"/>
        </xdr:cNvSpPr>
      </xdr:nvSpPr>
      <xdr:spPr>
        <a:xfrm>
          <a:off x="16227824" y="0"/>
          <a:ext cx="1021866" cy="324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PE" sz="1200" b="1">
              <a:latin typeface="Arial Nova Cond" panose="020B0506020202020204" pitchFamily="34" charset="0"/>
            </a:rPr>
            <a:t>UNICO XML</a:t>
          </a:r>
        </a:p>
      </xdr:txBody>
    </xdr:sp>
    <xdr:clientData/>
  </xdr:twoCellAnchor>
  <xdr:twoCellAnchor>
    <xdr:from>
      <xdr:col>13</xdr:col>
      <xdr:colOff>2317291</xdr:colOff>
      <xdr:row>0</xdr:row>
      <xdr:rowOff>0</xdr:rowOff>
    </xdr:from>
    <xdr:to>
      <xdr:col>13</xdr:col>
      <xdr:colOff>3511006</xdr:colOff>
      <xdr:row>0</xdr:row>
      <xdr:rowOff>324210</xdr:rowOff>
    </xdr:to>
    <xdr:sp macro="[0]!EliminarFilasSeleccionad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F252CAB-5076-4EE1-876E-6823C77FCD4E}"/>
            </a:ext>
          </a:extLst>
        </xdr:cNvPr>
        <xdr:cNvSpPr>
          <a:spLocks/>
        </xdr:cNvSpPr>
      </xdr:nvSpPr>
      <xdr:spPr>
        <a:xfrm>
          <a:off x="19013255" y="0"/>
          <a:ext cx="1193715" cy="3242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PE" sz="1200" b="1">
              <a:latin typeface="Arial Nova Cond" panose="020B0506020202020204" pitchFamily="34" charset="0"/>
            </a:rPr>
            <a:t>ELIMINAR FILAS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6\parques$\Documents%20and%20Settings\Administrador\Mis%20documentos\BELISSA\SCHT%20-%20Mafer\lIQUIDACION%20F%200\LIQUIDACION%20DE%20F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PRISMA/condominio%20real/Metrado%20-%20Condominio%20Real%20%2002/METRADO%20real%20-%20entrega%20060904/Metrado%20-%20Condominio%20Real%20RESUMEN%2027080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https://inversionespadova-my.sharepoint.com/Users/MCOSTA/AppData/Local/Microsoft/Windows/Temporary%20Internet%20Files/Content.Outlook/91EH1GGG/Documents%20and%20Settings/u91271/Mis%20documentos/LSL/Proyectos/Informaci&#243;n%20Proyectos/Odyssey%20Puerta%20del%20Sol%20-%20Flujo.xls?856E6230" TargetMode="External"/><Relationship Id="rId1" Type="http://schemas.openxmlformats.org/officeDocument/2006/relationships/externalLinkPath" Target="file:///\\856E6230\Odyssey%20Puerta%20del%20Sol%20-%20Fluj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L%20DERBY\Resultado%20Operativo\Resultado%20Operativo%20No%2000-Mayo%202006v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se%20antonio\My%20Documents\Mis%20Programas\Proyecta\USIL\03%20Contrato%20USIL-CONTRATISTA\Anexo%202.-%20Presupuesto%20de%20Obra\CARPETA%20DE%20LA%20FAMILIA\LEOPARDO1\metrados\Nueva%20carpeta\COLISEO%20NEWTON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Users/MCOSTA/AppData/Local/Microsoft/Windows/Temporary%20Internet%20Files/Content.Outlook/9VTTT6MX/Base%20Casa%20en%20La%20Molina%20%20Abr-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azuri\saga%20falabel\Carlos\Encofrado\Precios%20Unitario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Finanzas/Cordova/Informe%20Mensual%20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RO-05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Documents%20and%20Settings/b9809/Configuraci&#243;n%20local/Archivos%20temporales%20de%20Internet/OLKF0/Anexo%202_Factibilidad%20proyecto%20JPRN%20Imagina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prisma/condominio%20real/Metrado%20-%20Condominio%20Real%20%2002/Metrado%20-%20Condominio%20Real%20%20MODULO%204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rsionespadova-my.sharepoint.com/PRISMA/condominio%20real/Metrado%20-%20Condominio%20Real%20%2002/METRADO%20real%20-%20entrega%20060904/METRADO%20CASA3%20entrega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bdfs\dfs\CInmobiliar\Informe%20T&#233;cnico%20Inmobiliario\2007\LIMA\009%20SAN%20JOSE%20Feria%20del%20Pac&#237;fico\Copia%20de%20FIP%20An&#225;lisis%20Financiero%2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astor\marsano\WINDOWS\TEMP\WINDOWS\TEMP\Sdos%20Jun200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l09447\tfingar\TIPFIN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gos Wong"/>
      <sheetName val="Resumen SAP"/>
      <sheetName val="Resumen de pagos a SJP"/>
      <sheetName val="Resumen Gral"/>
      <sheetName val="TIPOS y AREAS (10julio13)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IDAS"/>
      <sheetName val="TIPO I"/>
      <sheetName val="TIPOII"/>
      <sheetName val="TIPOIII"/>
      <sheetName val="TIPOIV"/>
      <sheetName val="resumen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UPUESTOS"/>
      <sheetName val="precios"/>
      <sheetName val="CRONO"/>
      <sheetName val="supingU"/>
      <sheetName val="supingUE"/>
      <sheetName val="supingP"/>
      <sheetName val="Areas"/>
      <sheetName val="FdeCECO"/>
      <sheetName val="RESUMEN"/>
      <sheetName val="V.ARAN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(0) Carátula"/>
      <sheetName val="Grafico"/>
      <sheetName val="T. Cambio"/>
      <sheetName val="Ppto. Venta1"/>
      <sheetName val="Ppto. Venta2"/>
      <sheetName val="07-01-Materiales"/>
      <sheetName val="07-02-M.O"/>
      <sheetName val="07-03-SUBCONTRATOS"/>
      <sheetName val="07-04-EQUIPOS"/>
      <sheetName val="07-05-FLETES"/>
      <sheetName val="07-06-SUPERVISION"/>
      <sheetName val="07-07-G.G."/>
      <sheetName val="RO-06-01"/>
      <sheetName val="RO-06-02"/>
      <sheetName val="TOTAL"/>
      <sheetName val="FASE 100 (O.P)"/>
      <sheetName val="FASE 200(MT)"/>
      <sheetName val="FASE 300(CS)"/>
      <sheetName val="FASE 400(CA)"/>
      <sheetName val="FASE 500(A)"/>
      <sheetName val="FASE 600(E)"/>
      <sheetName val="FASE 700(ALB)"/>
      <sheetName val="FASE 800(EN)"/>
      <sheetName val="FASE 900(LAM)"/>
      <sheetName val="FASE 1000 (CMAD)"/>
      <sheetName val="FASE 1100(CMET)"/>
      <sheetName val="FASE 1200(PIN)"/>
      <sheetName val="FASE 1300(VID)"/>
      <sheetName val="FASE 1400(EQ)"/>
      <sheetName val="FASE 1500(INS)"/>
      <sheetName val="FASE 1600(EXT)"/>
      <sheetName val="FASE 1700(PV)"/>
      <sheetName val="FASE 1800(CI)"/>
      <sheetName val="FASE 190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8">
          <cell r="K8">
            <v>3.25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DE PROPUESTA"/>
      <sheetName val="Arquitectura"/>
      <sheetName val="Estructuras"/>
      <sheetName val="Electrica"/>
      <sheetName val="Sanitaria"/>
      <sheetName val="Mecanica"/>
      <sheetName val="PU arquitectura"/>
      <sheetName val="pu Estructuras"/>
      <sheetName val="PU electricas"/>
      <sheetName val="PU sanitari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JO BI"/>
      <sheetName val="estructura finan"/>
      <sheetName val="depas"/>
      <sheetName val="Plazos"/>
      <sheetName val="Preventas"/>
      <sheetName val="cobertura c.preventa"/>
      <sheetName val="LTV"/>
      <sheetName val="Lin.Ventas"/>
      <sheetName val="cobertura saldo"/>
      <sheetName val="mercado"/>
      <sheetName val="Líneas (2)"/>
      <sheetName val="Garantías (2)"/>
      <sheetName val="A.Final no sirve"/>
      <sheetName val="Anexo Final (2)"/>
      <sheetName val="Acc Ant"/>
      <sheetName val="Emp Ant"/>
      <sheetName val="Cartera-Efect-SBS"/>
      <sheetName val="Rent-Tasa-Matriz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cofrado BVR Unispan"/>
      <sheetName val="Concreto"/>
      <sheetName val="Equipo de apuntalemiento"/>
      <sheetName val="Gastos Generales BVR"/>
      <sheetName val="Planilla"/>
      <sheetName val="BVR con Efco"/>
      <sheetName val="Encofrado"/>
      <sheetName val="Hoja3"/>
    </sheetNames>
    <sheetDataSet>
      <sheetData sheetId="0" refreshError="1">
        <row r="7">
          <cell r="C7">
            <v>2</v>
          </cell>
        </row>
        <row r="8">
          <cell r="C8">
            <v>61.5</v>
          </cell>
        </row>
        <row r="9">
          <cell r="C9">
            <v>1.78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onos"/>
      <sheetName val="Ventas"/>
      <sheetName val="PPTO "/>
      <sheetName val="ESTRUCTURAS"/>
      <sheetName val="OBRA HUMEDA"/>
      <sheetName val="ACABADOS"/>
      <sheetName val="ISS-MO"/>
      <sheetName val="MAT -  ISS"/>
      <sheetName val="IEE-MO"/>
      <sheetName val="MAT -IIEE"/>
      <sheetName val="EQUIPAMIENTO"/>
      <sheetName val="ADICIONALES"/>
      <sheetName val="RESUMEN"/>
      <sheetName val="Costo Directo"/>
      <sheetName val="Resumen Ventas"/>
      <sheetName val="Gastos US$ Ene"/>
      <sheetName val="GASTOS + IGV US$ Ene"/>
      <sheetName val="Administrativos"/>
      <sheetName val="Gastos Generales"/>
      <sheetName val="Titulación"/>
      <sheetName val="Gastos US$ Ene MODIF."/>
      <sheetName val="Gasto + IGV Ene 2011"/>
      <sheetName val="Gastos US$ Dic"/>
      <sheetName val="GASTOS+IGV US$ Dic"/>
      <sheetName val="RESUMEN ENE"/>
      <sheetName val="LIBERACIONES"/>
      <sheetName val="PTO OBRA"/>
      <sheetName val="Ventas Cordova"/>
      <sheetName val="RESUMEN AJUSTADO"/>
      <sheetName val="Terreno"/>
      <sheetName val="CD"/>
      <sheetName val="Febrero"/>
      <sheetName val="X Pagar CD"/>
      <sheetName val="Comisiones"/>
      <sheetName val="GRA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GENES"/>
      <sheetName val="ResumenTotalObra"/>
      <sheetName val="Fase 10"/>
      <sheetName val="Fase 11"/>
      <sheetName val="Fase 12"/>
      <sheetName val="Fase 13"/>
      <sheetName val="Fase 14"/>
      <sheetName val="Fase 20"/>
      <sheetName val="Fase 21"/>
      <sheetName val="Fase 22"/>
      <sheetName val="Fase 23"/>
      <sheetName val="Fase 24"/>
      <sheetName val="Fase 30"/>
      <sheetName val="Fase 40"/>
      <sheetName val="Fase 50"/>
      <sheetName val="Fase 51"/>
      <sheetName val="Fase 52"/>
      <sheetName val="Fase 60"/>
      <sheetName val="Fase 70"/>
      <sheetName val="RTO(dic99)"/>
      <sheetName val="VENTA por partidas"/>
      <sheetName val="COSTO por partidas"/>
    </sheetNames>
    <sheetDataSet>
      <sheetData sheetId="0"/>
      <sheetData sheetId="1">
        <row r="2">
          <cell r="D2" t="str">
            <v xml:space="preserve">              TOTAL   DE  OBRA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adro de ventas"/>
      <sheetName val="Información de proyecto"/>
      <sheetName val="acabados"/>
      <sheetName val="Detalle de egresos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IDAS"/>
      <sheetName val="TIPO I"/>
      <sheetName val="TIPOII"/>
      <sheetName val="TIPOIII"/>
      <sheetName val="TIPOIV"/>
      <sheetName val="IS Tipo 4"/>
      <sheetName val="ARQ T4"/>
      <sheetName val="IE T4"/>
      <sheetName val="resum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  <sheetName val="Hoja3"/>
      <sheetName val="Hoja1 (2)"/>
      <sheetName val="Hoja1 (3)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reno"/>
      <sheetName val="Vel. Venta"/>
      <sheetName val="FLUJO DE CAJA"/>
      <sheetName val="GG y PP"/>
      <sheetName val="M2"/>
      <sheetName val="VAN Terreno"/>
    </sheetNames>
    <sheetDataSet>
      <sheetData sheetId="0" refreshError="1"/>
      <sheetData sheetId="1" refreshError="1"/>
      <sheetData sheetId="2">
        <row r="13">
          <cell r="D13">
            <v>33000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val. Ing."/>
      <sheetName val="Eval. Emp."/>
      <sheetName val="Eval. Téc."/>
      <sheetName val="Areas"/>
      <sheetName val="Datos"/>
      <sheetName val="Eval_ Ing_"/>
      <sheetName val="Datos Panel"/>
      <sheetName val="Eval__Ing_"/>
      <sheetName val="Eval__Emp_"/>
      <sheetName val="Eval__Téc_"/>
      <sheetName val="TIPFIN10"/>
      <sheetName val="1. Perfil"/>
      <sheetName val="2. Terreno"/>
      <sheetName val="3. Areas"/>
      <sheetName val="4. Prizing"/>
      <sheetName val="5. Ppto Obra"/>
      <sheetName val="6. Flujo Obras"/>
      <sheetName val="7. HU y OC"/>
      <sheetName val="8. Gastos Ind."/>
      <sheetName val="9. Gcia y ventas"/>
      <sheetName val="10. Flujo Inver."/>
      <sheetName val="11. Flujo de Ventas"/>
      <sheetName val="12. GyP"/>
      <sheetName val="6. Flujo Vtas"/>
      <sheetName val="Hoja3"/>
    </sheetNames>
    <sheetDataSet>
      <sheetData sheetId="0" refreshError="1">
        <row r="2">
          <cell r="A2">
            <v>17</v>
          </cell>
        </row>
        <row r="3">
          <cell r="M3">
            <v>3.5</v>
          </cell>
        </row>
      </sheetData>
      <sheetData sheetId="1">
        <row r="2">
          <cell r="A2">
            <v>17</v>
          </cell>
        </row>
      </sheetData>
      <sheetData sheetId="2"/>
      <sheetData sheetId="3">
        <row r="2">
          <cell r="A2">
            <v>17</v>
          </cell>
        </row>
      </sheetData>
      <sheetData sheetId="4" refreshError="1">
        <row r="2">
          <cell r="A2">
            <v>17</v>
          </cell>
          <cell r="B2" t="str">
            <v xml:space="preserve">AGUILAR CARRERA RODOLFO </v>
          </cell>
          <cell r="C2">
            <v>1938</v>
          </cell>
          <cell r="D2">
            <v>1979</v>
          </cell>
          <cell r="E2">
            <v>2333.13</v>
          </cell>
          <cell r="I2">
            <v>2333.13</v>
          </cell>
          <cell r="J2" t="str">
            <v>G</v>
          </cell>
          <cell r="K2" t="str">
            <v>MEC</v>
          </cell>
          <cell r="L2" t="str">
            <v>OXI99</v>
          </cell>
        </row>
        <row r="3">
          <cell r="A3">
            <v>21</v>
          </cell>
          <cell r="B3" t="str">
            <v xml:space="preserve">ALVA PERAMAS AUGUSTO  </v>
          </cell>
          <cell r="C3">
            <v>1946</v>
          </cell>
          <cell r="D3">
            <v>1980</v>
          </cell>
          <cell r="E3">
            <v>2060.69</v>
          </cell>
          <cell r="F3">
            <v>556.30999999999995</v>
          </cell>
          <cell r="I3">
            <v>2617</v>
          </cell>
          <cell r="J3" t="str">
            <v>F</v>
          </cell>
          <cell r="K3" t="str">
            <v>MEC</v>
          </cell>
          <cell r="L3" t="str">
            <v>BROC</v>
          </cell>
        </row>
        <row r="4">
          <cell r="A4">
            <v>24</v>
          </cell>
          <cell r="B4" t="str">
            <v>ARRIBASPLATA VELASQUEZ TITO DANIEL</v>
          </cell>
          <cell r="C4">
            <v>1950</v>
          </cell>
          <cell r="D4">
            <v>1981</v>
          </cell>
          <cell r="E4">
            <v>5566.53</v>
          </cell>
          <cell r="F4">
            <v>2552.4499999999998</v>
          </cell>
          <cell r="I4">
            <v>8118.98</v>
          </cell>
          <cell r="J4" t="str">
            <v>E</v>
          </cell>
          <cell r="K4" t="str">
            <v>TEC</v>
          </cell>
          <cell r="L4" t="str">
            <v>ANTM</v>
          </cell>
        </row>
        <row r="5">
          <cell r="A5">
            <v>28</v>
          </cell>
          <cell r="B5" t="str">
            <v>BIELICH THIESSEN CESAR ADRIANO</v>
          </cell>
          <cell r="C5">
            <v>1950</v>
          </cell>
          <cell r="D5">
            <v>1977</v>
          </cell>
          <cell r="E5">
            <v>12790.74</v>
          </cell>
          <cell r="F5">
            <v>1209.26</v>
          </cell>
          <cell r="I5">
            <v>14000</v>
          </cell>
          <cell r="J5" t="str">
            <v>B</v>
          </cell>
          <cell r="K5" t="str">
            <v>ICIV</v>
          </cell>
          <cell r="L5" t="str">
            <v>GLOR</v>
          </cell>
        </row>
        <row r="6">
          <cell r="A6">
            <v>35</v>
          </cell>
          <cell r="B6" t="str">
            <v xml:space="preserve">BRAVO GUEVARA PATRICIA  </v>
          </cell>
          <cell r="C6">
            <v>1956</v>
          </cell>
          <cell r="D6">
            <v>1981</v>
          </cell>
          <cell r="E6">
            <v>2130</v>
          </cell>
          <cell r="I6">
            <v>2130</v>
          </cell>
          <cell r="J6" t="str">
            <v>F</v>
          </cell>
          <cell r="K6" t="str">
            <v>SEC</v>
          </cell>
          <cell r="L6" t="str">
            <v>LOG</v>
          </cell>
        </row>
        <row r="7">
          <cell r="A7">
            <v>37</v>
          </cell>
          <cell r="B7" t="str">
            <v>CABRERA GARCIA OCTAVIO FRANCISCO</v>
          </cell>
          <cell r="C7">
            <v>1950</v>
          </cell>
          <cell r="D7">
            <v>1974</v>
          </cell>
          <cell r="E7">
            <v>18300.150000000001</v>
          </cell>
          <cell r="I7">
            <v>18300.150000000001</v>
          </cell>
          <cell r="J7" t="str">
            <v>A</v>
          </cell>
          <cell r="K7" t="str">
            <v>ICIV</v>
          </cell>
          <cell r="L7" t="str">
            <v>DIVIOC</v>
          </cell>
        </row>
        <row r="8">
          <cell r="A8">
            <v>45</v>
          </cell>
          <cell r="B8" t="str">
            <v>CORREA DIAZ MAGALI LUCERO</v>
          </cell>
          <cell r="C8">
            <v>1960</v>
          </cell>
          <cell r="D8">
            <v>1980</v>
          </cell>
          <cell r="E8">
            <v>3600</v>
          </cell>
          <cell r="I8">
            <v>3600</v>
          </cell>
          <cell r="J8" t="str">
            <v>E</v>
          </cell>
          <cell r="K8" t="str">
            <v>CTD</v>
          </cell>
          <cell r="L8" t="str">
            <v>CTB</v>
          </cell>
        </row>
        <row r="9">
          <cell r="A9">
            <v>53</v>
          </cell>
          <cell r="B9" t="str">
            <v xml:space="preserve">DIAZ IMIELA GENTIMUR LUIS  </v>
          </cell>
          <cell r="C9">
            <v>1939</v>
          </cell>
          <cell r="D9">
            <v>1962</v>
          </cell>
          <cell r="E9">
            <v>19320</v>
          </cell>
          <cell r="I9">
            <v>19320</v>
          </cell>
          <cell r="J9" t="str">
            <v>A</v>
          </cell>
          <cell r="K9" t="str">
            <v>ICIV</v>
          </cell>
          <cell r="L9" t="str">
            <v>DCGyM</v>
          </cell>
        </row>
        <row r="10">
          <cell r="A10">
            <v>58</v>
          </cell>
          <cell r="B10" t="str">
            <v>FILOMENO EDWARDS MARIA TERESA</v>
          </cell>
          <cell r="C10">
            <v>1938</v>
          </cell>
          <cell r="D10">
            <v>1977</v>
          </cell>
          <cell r="E10">
            <v>4294</v>
          </cell>
          <cell r="I10">
            <v>4294</v>
          </cell>
          <cell r="J10" t="str">
            <v>H</v>
          </cell>
          <cell r="K10" t="str">
            <v>SEC</v>
          </cell>
          <cell r="L10" t="str">
            <v>DCHOL</v>
          </cell>
        </row>
        <row r="11">
          <cell r="A11">
            <v>63</v>
          </cell>
          <cell r="B11" t="str">
            <v xml:space="preserve">GRAÑA MIRO QUESADA JOSE  </v>
          </cell>
          <cell r="C11">
            <v>1945</v>
          </cell>
          <cell r="D11">
            <v>1968</v>
          </cell>
          <cell r="E11">
            <v>24640</v>
          </cell>
          <cell r="I11">
            <v>24640</v>
          </cell>
          <cell r="J11" t="str">
            <v>H</v>
          </cell>
          <cell r="K11" t="str">
            <v>ARQ</v>
          </cell>
          <cell r="L11" t="str">
            <v>DCHOL</v>
          </cell>
        </row>
        <row r="12">
          <cell r="A12">
            <v>64</v>
          </cell>
          <cell r="B12" t="str">
            <v xml:space="preserve">GALVEZ RUBIO ALFONSO  </v>
          </cell>
          <cell r="C12">
            <v>1944</v>
          </cell>
          <cell r="D12">
            <v>1966</v>
          </cell>
          <cell r="E12">
            <v>18300.11</v>
          </cell>
          <cell r="I12">
            <v>18300.11</v>
          </cell>
          <cell r="J12" t="str">
            <v>A</v>
          </cell>
          <cell r="K12" t="str">
            <v>ICIV</v>
          </cell>
          <cell r="L12" t="str">
            <v>PE</v>
          </cell>
        </row>
        <row r="13">
          <cell r="A13">
            <v>66</v>
          </cell>
          <cell r="B13" t="str">
            <v>GRAÑA ACUÑA HERNANDO ALEJANDRO</v>
          </cell>
          <cell r="C13">
            <v>1951</v>
          </cell>
          <cell r="D13">
            <v>1977</v>
          </cell>
          <cell r="E13">
            <v>19320</v>
          </cell>
          <cell r="I13">
            <v>19320</v>
          </cell>
          <cell r="J13" t="str">
            <v>A</v>
          </cell>
          <cell r="K13" t="str">
            <v>IIND</v>
          </cell>
          <cell r="L13" t="str">
            <v>DCGyM</v>
          </cell>
        </row>
        <row r="14">
          <cell r="A14">
            <v>68</v>
          </cell>
          <cell r="B14" t="str">
            <v>GUTIERREZ MABAMA DAVID ORLANDO</v>
          </cell>
          <cell r="C14">
            <v>1949</v>
          </cell>
          <cell r="D14">
            <v>1977</v>
          </cell>
          <cell r="E14">
            <v>11724</v>
          </cell>
          <cell r="I14">
            <v>11724</v>
          </cell>
          <cell r="J14" t="str">
            <v>C</v>
          </cell>
          <cell r="K14" t="str">
            <v>ICIV</v>
          </cell>
          <cell r="L14" t="str">
            <v>PTOS</v>
          </cell>
        </row>
        <row r="15">
          <cell r="A15">
            <v>73</v>
          </cell>
          <cell r="B15" t="str">
            <v xml:space="preserve">GONZALES MARSANO M.PILAR  </v>
          </cell>
          <cell r="C15">
            <v>1955</v>
          </cell>
          <cell r="D15">
            <v>1980</v>
          </cell>
          <cell r="E15">
            <v>2348.7800000000002</v>
          </cell>
          <cell r="F15">
            <v>933.22</v>
          </cell>
          <cell r="I15">
            <v>3282</v>
          </cell>
          <cell r="J15" t="str">
            <v>E</v>
          </cell>
          <cell r="K15" t="str">
            <v>SEC</v>
          </cell>
          <cell r="L15" t="str">
            <v>LTMANT</v>
          </cell>
        </row>
        <row r="16">
          <cell r="A16">
            <v>77</v>
          </cell>
          <cell r="B16" t="str">
            <v xml:space="preserve">HARMSEN ANDRESS FERNANDO  </v>
          </cell>
          <cell r="C16">
            <v>1953</v>
          </cell>
          <cell r="D16">
            <v>1988</v>
          </cell>
          <cell r="E16">
            <v>10555.76</v>
          </cell>
          <cell r="I16">
            <v>10555.76</v>
          </cell>
          <cell r="J16" t="str">
            <v>A</v>
          </cell>
          <cell r="K16">
            <v>0</v>
          </cell>
          <cell r="L16" t="str">
            <v>PAT1</v>
          </cell>
        </row>
        <row r="17">
          <cell r="A17">
            <v>79</v>
          </cell>
          <cell r="B17" t="str">
            <v xml:space="preserve">IDIAQUEZ PALACIOS ARISTIDES A.  </v>
          </cell>
          <cell r="C17">
            <v>1951</v>
          </cell>
          <cell r="D17">
            <v>1977</v>
          </cell>
          <cell r="E17">
            <v>4150</v>
          </cell>
          <cell r="I17">
            <v>4150</v>
          </cell>
          <cell r="J17" t="str">
            <v>G</v>
          </cell>
          <cell r="K17" t="str">
            <v>CONS</v>
          </cell>
          <cell r="L17" t="str">
            <v>PTOS</v>
          </cell>
        </row>
        <row r="18">
          <cell r="A18">
            <v>84</v>
          </cell>
          <cell r="B18" t="str">
            <v xml:space="preserve">LINDER BRESLAUER ALFREDO </v>
          </cell>
          <cell r="C18">
            <v>1931</v>
          </cell>
          <cell r="D18">
            <v>1960</v>
          </cell>
          <cell r="E18">
            <v>413.24</v>
          </cell>
          <cell r="I18">
            <v>413.24</v>
          </cell>
          <cell r="J18" t="str">
            <v>s/c</v>
          </cell>
          <cell r="K18" t="str">
            <v>ARQ</v>
          </cell>
          <cell r="L18" t="str">
            <v>DCTER</v>
          </cell>
        </row>
        <row r="19">
          <cell r="A19">
            <v>90</v>
          </cell>
          <cell r="B19" t="str">
            <v>MONTERO GRAÑA JUAN CARLOS ANTONIO</v>
          </cell>
          <cell r="C19">
            <v>1942</v>
          </cell>
          <cell r="D19">
            <v>1966</v>
          </cell>
          <cell r="E19">
            <v>17476</v>
          </cell>
          <cell r="I19">
            <v>17476</v>
          </cell>
          <cell r="J19" t="str">
            <v>H</v>
          </cell>
          <cell r="K19" t="str">
            <v>ICIV</v>
          </cell>
          <cell r="L19" t="str">
            <v>DCHOL</v>
          </cell>
        </row>
        <row r="20">
          <cell r="A20">
            <v>98</v>
          </cell>
          <cell r="B20" t="str">
            <v xml:space="preserve">MIO RIVADENEYRA LUIS  </v>
          </cell>
          <cell r="C20">
            <v>1939</v>
          </cell>
          <cell r="D20">
            <v>1964</v>
          </cell>
          <cell r="E20">
            <v>3000</v>
          </cell>
          <cell r="I20">
            <v>3000</v>
          </cell>
          <cell r="J20" t="str">
            <v>E</v>
          </cell>
          <cell r="K20" t="str">
            <v>TADM</v>
          </cell>
          <cell r="L20" t="str">
            <v>CEQAL</v>
          </cell>
        </row>
        <row r="21">
          <cell r="A21">
            <v>112</v>
          </cell>
          <cell r="B21" t="str">
            <v>ORMENO BRICENO CARMEN ROSA</v>
          </cell>
          <cell r="C21">
            <v>1956</v>
          </cell>
          <cell r="D21">
            <v>1979</v>
          </cell>
          <cell r="E21">
            <v>1100</v>
          </cell>
          <cell r="I21">
            <v>1100</v>
          </cell>
          <cell r="J21" t="str">
            <v>G</v>
          </cell>
          <cell r="K21" t="str">
            <v>SEC</v>
          </cell>
          <cell r="L21" t="str">
            <v>EDIFGM</v>
          </cell>
        </row>
        <row r="22">
          <cell r="A22">
            <v>125</v>
          </cell>
          <cell r="B22" t="str">
            <v>RAFFO NEYRA ALICIA SOFIA</v>
          </cell>
          <cell r="C22">
            <v>1954</v>
          </cell>
          <cell r="D22">
            <v>1975</v>
          </cell>
          <cell r="E22">
            <v>5929.74</v>
          </cell>
          <cell r="F22">
            <v>570.26</v>
          </cell>
          <cell r="I22">
            <v>6500</v>
          </cell>
          <cell r="J22" t="str">
            <v>E</v>
          </cell>
          <cell r="K22" t="str">
            <v>ARQ</v>
          </cell>
          <cell r="L22" t="str">
            <v>GMT</v>
          </cell>
        </row>
        <row r="23">
          <cell r="A23">
            <v>132</v>
          </cell>
          <cell r="B23" t="str">
            <v>RODRIGUEZ QUEQUEZANA SERGIO OSWALDO</v>
          </cell>
          <cell r="C23">
            <v>1947</v>
          </cell>
          <cell r="D23">
            <v>1980</v>
          </cell>
          <cell r="E23">
            <v>3166.69</v>
          </cell>
          <cell r="F23">
            <v>871.32</v>
          </cell>
          <cell r="I23">
            <v>4038.01</v>
          </cell>
          <cell r="J23" t="str">
            <v>F</v>
          </cell>
          <cell r="K23" t="str">
            <v>MEC</v>
          </cell>
          <cell r="L23" t="str">
            <v>BROC</v>
          </cell>
        </row>
        <row r="24">
          <cell r="A24">
            <v>137</v>
          </cell>
          <cell r="B24" t="str">
            <v xml:space="preserve">SOTELO FERRER RODOLFO  </v>
          </cell>
          <cell r="C24">
            <v>1946</v>
          </cell>
          <cell r="D24">
            <v>1976</v>
          </cell>
          <cell r="E24">
            <v>17500</v>
          </cell>
          <cell r="I24">
            <v>17500</v>
          </cell>
          <cell r="J24" t="str">
            <v>B</v>
          </cell>
          <cell r="K24" t="str">
            <v>ICIV</v>
          </cell>
          <cell r="L24" t="str">
            <v>PTOS</v>
          </cell>
        </row>
        <row r="25">
          <cell r="A25">
            <v>140</v>
          </cell>
          <cell r="B25" t="str">
            <v xml:space="preserve">SANCHEZ LOPEZ TULA  </v>
          </cell>
          <cell r="C25">
            <v>1954</v>
          </cell>
          <cell r="D25">
            <v>1976</v>
          </cell>
          <cell r="E25">
            <v>1575</v>
          </cell>
          <cell r="I25">
            <v>1575</v>
          </cell>
          <cell r="J25" t="str">
            <v>F</v>
          </cell>
          <cell r="K25">
            <v>0</v>
          </cell>
          <cell r="L25" t="str">
            <v>ADMOP</v>
          </cell>
        </row>
        <row r="26">
          <cell r="A26">
            <v>142</v>
          </cell>
          <cell r="B26" t="str">
            <v>SILVA GALVAN BAUDELIO ASTERIO</v>
          </cell>
          <cell r="C26">
            <v>1950</v>
          </cell>
          <cell r="D26">
            <v>1979</v>
          </cell>
          <cell r="E26">
            <v>3949.33</v>
          </cell>
          <cell r="F26">
            <v>945</v>
          </cell>
          <cell r="I26">
            <v>4894.33</v>
          </cell>
          <cell r="J26" t="str">
            <v>D</v>
          </cell>
          <cell r="K26" t="str">
            <v>TCONT</v>
          </cell>
          <cell r="L26" t="str">
            <v>BROC</v>
          </cell>
        </row>
        <row r="27">
          <cell r="A27">
            <v>148</v>
          </cell>
          <cell r="B27" t="str">
            <v>TINOCO PEÑA CARLOS ENRIQUE</v>
          </cell>
          <cell r="C27">
            <v>1952</v>
          </cell>
          <cell r="D27">
            <v>1980</v>
          </cell>
          <cell r="E27">
            <v>2298.15</v>
          </cell>
          <cell r="F27">
            <v>660</v>
          </cell>
          <cell r="I27">
            <v>2958.15</v>
          </cell>
          <cell r="J27" t="str">
            <v>G</v>
          </cell>
          <cell r="K27" t="str">
            <v>DIB</v>
          </cell>
          <cell r="L27" t="str">
            <v>CHIN</v>
          </cell>
        </row>
        <row r="28">
          <cell r="A28">
            <v>150</v>
          </cell>
          <cell r="B28" t="str">
            <v>VELARDE MEIER LUIS PEDRO</v>
          </cell>
          <cell r="C28">
            <v>1919</v>
          </cell>
          <cell r="D28">
            <v>1958</v>
          </cell>
          <cell r="E28">
            <v>691.16</v>
          </cell>
          <cell r="I28">
            <v>691.16</v>
          </cell>
          <cell r="J28" t="str">
            <v>s/c</v>
          </cell>
          <cell r="K28" t="str">
            <v>ABG</v>
          </cell>
          <cell r="L28" t="str">
            <v>DCTER</v>
          </cell>
        </row>
        <row r="29">
          <cell r="A29">
            <v>185</v>
          </cell>
          <cell r="B29" t="str">
            <v>ALVAREZ OCHOA ROSA IRENE</v>
          </cell>
          <cell r="C29">
            <v>1942</v>
          </cell>
          <cell r="D29">
            <v>1970</v>
          </cell>
          <cell r="E29">
            <v>1751.22</v>
          </cell>
          <cell r="F29">
            <v>646.79</v>
          </cell>
          <cell r="I29">
            <v>2398.0100000000002</v>
          </cell>
          <cell r="J29" t="str">
            <v>F</v>
          </cell>
          <cell r="K29" t="str">
            <v>SEC</v>
          </cell>
          <cell r="L29" t="str">
            <v>FIN</v>
          </cell>
        </row>
        <row r="30">
          <cell r="A30">
            <v>191</v>
          </cell>
          <cell r="B30" t="str">
            <v>FILOMENO EDWARDS MARIA CONSUELO</v>
          </cell>
          <cell r="C30">
            <v>1941</v>
          </cell>
          <cell r="D30">
            <v>1981</v>
          </cell>
          <cell r="E30">
            <v>5200</v>
          </cell>
          <cell r="I30">
            <v>5200</v>
          </cell>
          <cell r="J30" t="str">
            <v>D</v>
          </cell>
          <cell r="K30" t="str">
            <v>SEC</v>
          </cell>
          <cell r="L30" t="str">
            <v>RRHH</v>
          </cell>
        </row>
        <row r="31">
          <cell r="A31">
            <v>194</v>
          </cell>
          <cell r="B31" t="str">
            <v xml:space="preserve">HERRERA PUZA LUIS  </v>
          </cell>
          <cell r="C31">
            <v>1936</v>
          </cell>
          <cell r="D31">
            <v>1981</v>
          </cell>
          <cell r="E31">
            <v>3926.02</v>
          </cell>
          <cell r="F31">
            <v>1073.98</v>
          </cell>
          <cell r="I31">
            <v>5000</v>
          </cell>
          <cell r="J31" t="str">
            <v>F</v>
          </cell>
          <cell r="K31" t="str">
            <v>MEC</v>
          </cell>
          <cell r="L31" t="str">
            <v>ANTM</v>
          </cell>
        </row>
        <row r="32">
          <cell r="A32">
            <v>206</v>
          </cell>
          <cell r="B32" t="str">
            <v>AYONA MIROS MARIA CECILIA</v>
          </cell>
          <cell r="C32">
            <v>1957</v>
          </cell>
          <cell r="D32">
            <v>1981</v>
          </cell>
          <cell r="E32">
            <v>4790</v>
          </cell>
          <cell r="I32">
            <v>4790</v>
          </cell>
          <cell r="J32" t="str">
            <v>F</v>
          </cell>
          <cell r="K32" t="str">
            <v>ICIV</v>
          </cell>
          <cell r="L32" t="str">
            <v>PTOS</v>
          </cell>
        </row>
        <row r="33">
          <cell r="A33">
            <v>209</v>
          </cell>
          <cell r="B33" t="str">
            <v>ORTIZ NUNEZ MANUEL HUMBERTO</v>
          </cell>
          <cell r="C33">
            <v>1946</v>
          </cell>
          <cell r="D33">
            <v>1981</v>
          </cell>
          <cell r="E33">
            <v>5894.77</v>
          </cell>
          <cell r="F33">
            <v>1643.23</v>
          </cell>
          <cell r="I33">
            <v>7538</v>
          </cell>
          <cell r="J33" t="str">
            <v>D</v>
          </cell>
          <cell r="K33" t="str">
            <v>ICIV</v>
          </cell>
          <cell r="L33" t="str">
            <v>BROC</v>
          </cell>
        </row>
        <row r="34">
          <cell r="A34">
            <v>242</v>
          </cell>
          <cell r="B34" t="str">
            <v xml:space="preserve">SERRUDO CAMPANA ABEL  </v>
          </cell>
          <cell r="C34">
            <v>1945</v>
          </cell>
          <cell r="D34">
            <v>1999</v>
          </cell>
          <cell r="E34">
            <v>16550</v>
          </cell>
          <cell r="F34">
            <v>1950</v>
          </cell>
          <cell r="I34">
            <v>18500</v>
          </cell>
          <cell r="J34" t="str">
            <v>B</v>
          </cell>
          <cell r="K34" t="str">
            <v>ICIV</v>
          </cell>
          <cell r="L34" t="str">
            <v>DIVOC</v>
          </cell>
        </row>
        <row r="35">
          <cell r="A35">
            <v>283</v>
          </cell>
          <cell r="B35" t="str">
            <v>ZEGARRA CAMMINATI CESAR MANUEL</v>
          </cell>
          <cell r="C35">
            <v>1940</v>
          </cell>
          <cell r="D35">
            <v>1973</v>
          </cell>
          <cell r="E35">
            <v>14700</v>
          </cell>
          <cell r="I35">
            <v>14700</v>
          </cell>
          <cell r="J35" t="str">
            <v>B</v>
          </cell>
          <cell r="K35" t="str">
            <v>ICIV</v>
          </cell>
          <cell r="L35" t="str">
            <v>SED7</v>
          </cell>
        </row>
        <row r="36">
          <cell r="A36">
            <v>285</v>
          </cell>
          <cell r="B36" t="str">
            <v>MORENO FERNANDEZ ANTONIO ALBERTO</v>
          </cell>
          <cell r="C36">
            <v>1954</v>
          </cell>
          <cell r="D36">
            <v>1989</v>
          </cell>
          <cell r="E36">
            <v>8168.91</v>
          </cell>
          <cell r="F36">
            <v>2331.09</v>
          </cell>
          <cell r="I36">
            <v>10500</v>
          </cell>
          <cell r="J36" t="str">
            <v>C</v>
          </cell>
          <cell r="K36" t="str">
            <v>ICIV</v>
          </cell>
          <cell r="L36" t="str">
            <v>DIVOC</v>
          </cell>
        </row>
        <row r="37">
          <cell r="A37">
            <v>287</v>
          </cell>
          <cell r="B37" t="str">
            <v>GODOY POLANCO CARMEN ROSA</v>
          </cell>
          <cell r="C37">
            <v>1960</v>
          </cell>
          <cell r="D37">
            <v>1982</v>
          </cell>
          <cell r="E37">
            <v>1840.09</v>
          </cell>
          <cell r="I37">
            <v>1840.09</v>
          </cell>
          <cell r="J37" t="str">
            <v>F</v>
          </cell>
          <cell r="K37" t="str">
            <v>SEC</v>
          </cell>
          <cell r="L37" t="str">
            <v>GGCEQ</v>
          </cell>
        </row>
        <row r="38">
          <cell r="A38">
            <v>290</v>
          </cell>
          <cell r="B38" t="str">
            <v xml:space="preserve">PAREDES ZEGARRA BENJAMIN  </v>
          </cell>
          <cell r="C38">
            <v>1931</v>
          </cell>
          <cell r="D38">
            <v>1982</v>
          </cell>
          <cell r="E38">
            <v>2126.06</v>
          </cell>
          <cell r="F38">
            <v>616.95000000000005</v>
          </cell>
          <cell r="I38">
            <v>2743.01</v>
          </cell>
          <cell r="J38" t="str">
            <v>F</v>
          </cell>
          <cell r="K38" t="str">
            <v>MEC</v>
          </cell>
          <cell r="L38" t="str">
            <v>ANTM</v>
          </cell>
        </row>
        <row r="39">
          <cell r="A39">
            <v>295</v>
          </cell>
          <cell r="B39" t="str">
            <v>RUIZ HIDALGO JOSE MANUEL</v>
          </cell>
          <cell r="C39">
            <v>1959</v>
          </cell>
          <cell r="D39">
            <v>1982</v>
          </cell>
          <cell r="E39">
            <v>2500</v>
          </cell>
          <cell r="I39">
            <v>2500</v>
          </cell>
          <cell r="J39" t="str">
            <v>E</v>
          </cell>
          <cell r="K39" t="str">
            <v>TEC</v>
          </cell>
          <cell r="L39" t="str">
            <v>ADMOP</v>
          </cell>
        </row>
        <row r="40">
          <cell r="A40">
            <v>319</v>
          </cell>
          <cell r="B40" t="str">
            <v>PEREZ PALMA MARIA SUSANA</v>
          </cell>
          <cell r="C40">
            <v>1954</v>
          </cell>
          <cell r="D40">
            <v>1983</v>
          </cell>
          <cell r="E40">
            <v>2050</v>
          </cell>
          <cell r="I40">
            <v>2050</v>
          </cell>
          <cell r="J40" t="str">
            <v>F</v>
          </cell>
          <cell r="K40" t="str">
            <v>SEC</v>
          </cell>
          <cell r="L40" t="str">
            <v>PE</v>
          </cell>
        </row>
        <row r="41">
          <cell r="A41">
            <v>323</v>
          </cell>
          <cell r="B41" t="str">
            <v>SOTO MURO JAVIER FERNANDO</v>
          </cell>
          <cell r="C41">
            <v>1959</v>
          </cell>
          <cell r="D41">
            <v>1983</v>
          </cell>
          <cell r="E41">
            <v>15950.47</v>
          </cell>
          <cell r="F41">
            <v>1549.53</v>
          </cell>
          <cell r="I41">
            <v>17500</v>
          </cell>
          <cell r="J41" t="str">
            <v>B</v>
          </cell>
          <cell r="K41" t="str">
            <v>ICIV</v>
          </cell>
          <cell r="L41" t="str">
            <v>MARR</v>
          </cell>
        </row>
        <row r="42">
          <cell r="A42">
            <v>329</v>
          </cell>
          <cell r="B42" t="str">
            <v>VERA MALLQUI CESAR JESUS</v>
          </cell>
          <cell r="C42">
            <v>1954</v>
          </cell>
          <cell r="D42">
            <v>1983</v>
          </cell>
          <cell r="E42">
            <v>13605.17</v>
          </cell>
          <cell r="F42">
            <v>3894.83</v>
          </cell>
          <cell r="I42">
            <v>17500</v>
          </cell>
          <cell r="J42" t="str">
            <v>B</v>
          </cell>
          <cell r="K42" t="str">
            <v>ICIV</v>
          </cell>
          <cell r="L42" t="str">
            <v>PE</v>
          </cell>
        </row>
        <row r="43">
          <cell r="A43">
            <v>330</v>
          </cell>
          <cell r="B43" t="str">
            <v>LAMBARRI HIERRO JUAN MANUEL</v>
          </cell>
          <cell r="C43">
            <v>1958</v>
          </cell>
          <cell r="D43">
            <v>2000</v>
          </cell>
          <cell r="E43">
            <v>17840</v>
          </cell>
          <cell r="I43">
            <v>17840</v>
          </cell>
          <cell r="J43" t="str">
            <v>A</v>
          </cell>
          <cell r="K43" t="str">
            <v>ICIV</v>
          </cell>
          <cell r="L43" t="str">
            <v>DCGyM</v>
          </cell>
        </row>
        <row r="44">
          <cell r="A44">
            <v>410</v>
          </cell>
          <cell r="B44" t="str">
            <v>MORENO FERNANDEZ CARLOS ALEJANDRO</v>
          </cell>
          <cell r="C44">
            <v>1952</v>
          </cell>
          <cell r="D44">
            <v>1984</v>
          </cell>
          <cell r="E44">
            <v>8342.85</v>
          </cell>
          <cell r="F44">
            <v>775.72</v>
          </cell>
          <cell r="I44">
            <v>9118.57</v>
          </cell>
          <cell r="J44" t="str">
            <v>C</v>
          </cell>
          <cell r="K44" t="str">
            <v>ICIV</v>
          </cell>
          <cell r="L44" t="str">
            <v>AUTSR</v>
          </cell>
        </row>
        <row r="45">
          <cell r="A45">
            <v>436</v>
          </cell>
          <cell r="B45" t="str">
            <v xml:space="preserve">TORO RIVERA DANISE </v>
          </cell>
          <cell r="C45">
            <v>1962</v>
          </cell>
          <cell r="D45">
            <v>1988</v>
          </cell>
          <cell r="E45">
            <v>3000</v>
          </cell>
          <cell r="I45">
            <v>3000</v>
          </cell>
          <cell r="J45" t="str">
            <v>E</v>
          </cell>
          <cell r="K45" t="str">
            <v>SEC</v>
          </cell>
          <cell r="L45" t="str">
            <v>CCA</v>
          </cell>
        </row>
        <row r="46">
          <cell r="A46">
            <v>446</v>
          </cell>
          <cell r="B46" t="str">
            <v xml:space="preserve">MIO MOROCHO OMAR  </v>
          </cell>
          <cell r="C46">
            <v>1961</v>
          </cell>
          <cell r="D46">
            <v>1985</v>
          </cell>
          <cell r="E46">
            <v>2867.32</v>
          </cell>
          <cell r="F46">
            <v>1183.68</v>
          </cell>
          <cell r="I46">
            <v>4051</v>
          </cell>
          <cell r="J46" t="str">
            <v>E</v>
          </cell>
          <cell r="K46" t="str">
            <v>CTD</v>
          </cell>
          <cell r="L46" t="str">
            <v>CHIN</v>
          </cell>
        </row>
        <row r="47">
          <cell r="A47">
            <v>478</v>
          </cell>
          <cell r="B47" t="str">
            <v>VARGAS LOZADA CARLOS ENRIQUE JAVIER</v>
          </cell>
          <cell r="C47">
            <v>1947</v>
          </cell>
          <cell r="D47">
            <v>1985</v>
          </cell>
          <cell r="E47">
            <v>14500.02</v>
          </cell>
          <cell r="I47">
            <v>14500.02</v>
          </cell>
          <cell r="J47" t="str">
            <v>B</v>
          </cell>
          <cell r="K47" t="str">
            <v>ADM</v>
          </cell>
          <cell r="L47" t="str">
            <v>FIN</v>
          </cell>
        </row>
        <row r="48">
          <cell r="A48">
            <v>500</v>
          </cell>
          <cell r="B48" t="str">
            <v xml:space="preserve">GALLEGOS CACERES JAIME  </v>
          </cell>
          <cell r="C48">
            <v>1955</v>
          </cell>
          <cell r="D48">
            <v>1986</v>
          </cell>
          <cell r="E48">
            <v>516.5</v>
          </cell>
          <cell r="I48">
            <v>516.5</v>
          </cell>
          <cell r="J48" t="str">
            <v>B</v>
          </cell>
          <cell r="K48" t="str">
            <v>ICIV</v>
          </cell>
          <cell r="L48" t="str">
            <v>MEX</v>
          </cell>
        </row>
        <row r="49">
          <cell r="A49">
            <v>513</v>
          </cell>
          <cell r="B49" t="str">
            <v xml:space="preserve">SANTOS VILLEGAS JOSE  </v>
          </cell>
          <cell r="C49">
            <v>1952</v>
          </cell>
          <cell r="D49">
            <v>1987</v>
          </cell>
          <cell r="E49">
            <v>6500</v>
          </cell>
          <cell r="I49">
            <v>6500</v>
          </cell>
          <cell r="J49" t="str">
            <v>D</v>
          </cell>
          <cell r="K49" t="str">
            <v>CTD</v>
          </cell>
          <cell r="L49" t="str">
            <v>CTB</v>
          </cell>
        </row>
        <row r="50">
          <cell r="A50">
            <v>519</v>
          </cell>
          <cell r="B50" t="str">
            <v>CORREA DIAZ ADA MARLENE</v>
          </cell>
          <cell r="C50">
            <v>1963</v>
          </cell>
          <cell r="D50">
            <v>1987</v>
          </cell>
          <cell r="E50">
            <v>1617</v>
          </cell>
          <cell r="I50">
            <v>1617</v>
          </cell>
          <cell r="J50" t="str">
            <v>G</v>
          </cell>
          <cell r="K50" t="str">
            <v>TCONT</v>
          </cell>
          <cell r="L50" t="str">
            <v>CTB</v>
          </cell>
        </row>
        <row r="51">
          <cell r="A51">
            <v>531</v>
          </cell>
          <cell r="B51" t="str">
            <v>MARMANILLO CASAPINO JOSE CARLOS</v>
          </cell>
          <cell r="C51">
            <v>1959</v>
          </cell>
          <cell r="D51">
            <v>1987</v>
          </cell>
          <cell r="E51">
            <v>12962.96</v>
          </cell>
          <cell r="F51">
            <v>4537.04</v>
          </cell>
          <cell r="I51">
            <v>17500</v>
          </cell>
          <cell r="J51" t="str">
            <v>B</v>
          </cell>
          <cell r="K51" t="str">
            <v>ICIV</v>
          </cell>
          <cell r="L51" t="str">
            <v>ACHA</v>
          </cell>
        </row>
        <row r="52">
          <cell r="A52">
            <v>532</v>
          </cell>
          <cell r="B52" t="str">
            <v>FOO KONG DEJO CARLOS EULOGIO</v>
          </cell>
          <cell r="C52">
            <v>1951</v>
          </cell>
          <cell r="D52">
            <v>1987</v>
          </cell>
          <cell r="E52">
            <v>6889.81</v>
          </cell>
          <cell r="F52">
            <v>1971.19</v>
          </cell>
          <cell r="I52">
            <v>8861</v>
          </cell>
          <cell r="J52" t="str">
            <v>D</v>
          </cell>
          <cell r="K52" t="str">
            <v>ICIV</v>
          </cell>
          <cell r="L52" t="str">
            <v>MARR</v>
          </cell>
        </row>
        <row r="53">
          <cell r="A53">
            <v>549</v>
          </cell>
          <cell r="B53" t="str">
            <v>RANGEL GARFIAS MARIO JAIME MARTIN</v>
          </cell>
          <cell r="C53">
            <v>1962</v>
          </cell>
          <cell r="D53">
            <v>1987</v>
          </cell>
          <cell r="E53">
            <v>11253.72</v>
          </cell>
          <cell r="F53">
            <v>1092.28</v>
          </cell>
          <cell r="I53">
            <v>12346</v>
          </cell>
          <cell r="J53" t="str">
            <v>C</v>
          </cell>
          <cell r="K53" t="str">
            <v>ICIV</v>
          </cell>
          <cell r="L53" t="str">
            <v>SED7</v>
          </cell>
        </row>
        <row r="54">
          <cell r="A54">
            <v>565</v>
          </cell>
          <cell r="B54" t="str">
            <v xml:space="preserve">OVALLE GATES JUDITH  </v>
          </cell>
          <cell r="C54">
            <v>1945</v>
          </cell>
          <cell r="D54">
            <v>1987</v>
          </cell>
          <cell r="E54">
            <v>2829</v>
          </cell>
          <cell r="I54">
            <v>2829</v>
          </cell>
          <cell r="J54" t="str">
            <v>F</v>
          </cell>
          <cell r="K54" t="str">
            <v>SEC</v>
          </cell>
          <cell r="L54" t="str">
            <v>RRHH</v>
          </cell>
        </row>
        <row r="55">
          <cell r="A55">
            <v>575</v>
          </cell>
          <cell r="B55" t="str">
            <v xml:space="preserve">IDIAQUEZ PALACIOS CARLOS  </v>
          </cell>
          <cell r="C55">
            <v>1948</v>
          </cell>
          <cell r="D55">
            <v>1988</v>
          </cell>
          <cell r="E55">
            <v>1287.44</v>
          </cell>
          <cell r="I55">
            <v>1287.44</v>
          </cell>
          <cell r="J55" t="str">
            <v>F</v>
          </cell>
          <cell r="K55">
            <v>0</v>
          </cell>
          <cell r="L55" t="str">
            <v>ADMOP</v>
          </cell>
        </row>
        <row r="56">
          <cell r="A56">
            <v>580</v>
          </cell>
          <cell r="B56" t="str">
            <v>LOZANO GALLO VICTOR HUMBERTO</v>
          </cell>
          <cell r="C56">
            <v>1958</v>
          </cell>
          <cell r="D56">
            <v>1988</v>
          </cell>
          <cell r="E56">
            <v>2115.81</v>
          </cell>
          <cell r="F56">
            <v>584.19000000000005</v>
          </cell>
          <cell r="I56">
            <v>2700</v>
          </cell>
          <cell r="J56" t="str">
            <v>F</v>
          </cell>
          <cell r="K56" t="str">
            <v>TCONT</v>
          </cell>
          <cell r="L56" t="str">
            <v>BROC</v>
          </cell>
        </row>
        <row r="57">
          <cell r="A57">
            <v>587</v>
          </cell>
          <cell r="B57" t="str">
            <v xml:space="preserve">MADRID GUERRA ROLANDO  </v>
          </cell>
          <cell r="C57">
            <v>1960</v>
          </cell>
          <cell r="D57">
            <v>1988</v>
          </cell>
          <cell r="E57">
            <v>7747.27</v>
          </cell>
          <cell r="F57">
            <v>2252.73</v>
          </cell>
          <cell r="I57">
            <v>10000</v>
          </cell>
          <cell r="J57" t="str">
            <v>D</v>
          </cell>
          <cell r="K57" t="str">
            <v>ICIV</v>
          </cell>
          <cell r="L57" t="str">
            <v>BROC</v>
          </cell>
        </row>
        <row r="58">
          <cell r="A58">
            <v>592</v>
          </cell>
          <cell r="B58" t="str">
            <v>DEL CASTILLO LEON SARA ELIZABETH</v>
          </cell>
          <cell r="C58">
            <v>1959</v>
          </cell>
          <cell r="D58">
            <v>1988</v>
          </cell>
          <cell r="E58">
            <v>8300</v>
          </cell>
          <cell r="I58">
            <v>8300</v>
          </cell>
          <cell r="J58" t="str">
            <v>D</v>
          </cell>
          <cell r="K58" t="str">
            <v>ECON</v>
          </cell>
          <cell r="L58" t="str">
            <v>FIN</v>
          </cell>
        </row>
        <row r="59">
          <cell r="A59">
            <v>600</v>
          </cell>
          <cell r="B59" t="str">
            <v xml:space="preserve">GENOVEZ ROSAS NOE  </v>
          </cell>
          <cell r="C59">
            <v>1954</v>
          </cell>
          <cell r="D59">
            <v>1988</v>
          </cell>
          <cell r="E59">
            <v>2927.73</v>
          </cell>
          <cell r="F59">
            <v>272.27999999999997</v>
          </cell>
          <cell r="I59">
            <v>3200.01</v>
          </cell>
          <cell r="J59" t="str">
            <v>E</v>
          </cell>
          <cell r="K59" t="str">
            <v>TCONT</v>
          </cell>
          <cell r="L59" t="str">
            <v>AUTSR</v>
          </cell>
        </row>
        <row r="60">
          <cell r="A60">
            <v>613</v>
          </cell>
          <cell r="B60" t="str">
            <v>GARGUREVICH MONTERO HUGO ANTONIO</v>
          </cell>
          <cell r="C60">
            <v>1958</v>
          </cell>
          <cell r="D60">
            <v>1989</v>
          </cell>
          <cell r="E60">
            <v>2660</v>
          </cell>
          <cell r="I60">
            <v>2660</v>
          </cell>
          <cell r="J60" t="str">
            <v>F</v>
          </cell>
          <cell r="K60" t="str">
            <v>IADM</v>
          </cell>
          <cell r="L60" t="str">
            <v>CEQAL</v>
          </cell>
        </row>
        <row r="61">
          <cell r="A61">
            <v>615</v>
          </cell>
          <cell r="B61" t="str">
            <v>ALARCON RAMIREZ JOSE ANTONIO</v>
          </cell>
          <cell r="C61">
            <v>1962</v>
          </cell>
          <cell r="D61">
            <v>1989</v>
          </cell>
          <cell r="E61">
            <v>4915.84</v>
          </cell>
          <cell r="F61">
            <v>476.4</v>
          </cell>
          <cell r="I61">
            <v>5392.24</v>
          </cell>
          <cell r="J61" t="str">
            <v>E</v>
          </cell>
          <cell r="K61" t="str">
            <v>IADM</v>
          </cell>
          <cell r="L61" t="str">
            <v>LATRIP</v>
          </cell>
        </row>
        <row r="62">
          <cell r="A62">
            <v>618</v>
          </cell>
          <cell r="B62" t="str">
            <v>DUQUE CASTRO JUAN MARTIN</v>
          </cell>
          <cell r="C62">
            <v>1966</v>
          </cell>
          <cell r="D62">
            <v>1989</v>
          </cell>
          <cell r="E62">
            <v>1933.12</v>
          </cell>
          <cell r="F62">
            <v>366.88</v>
          </cell>
          <cell r="I62">
            <v>2300</v>
          </cell>
          <cell r="J62" t="str">
            <v>F</v>
          </cell>
          <cell r="K62" t="str">
            <v>TADM</v>
          </cell>
          <cell r="L62" t="str">
            <v>BROC</v>
          </cell>
        </row>
        <row r="63">
          <cell r="A63">
            <v>641</v>
          </cell>
          <cell r="B63" t="str">
            <v>GRADOS QUEZADA LUIS ALBERTO</v>
          </cell>
          <cell r="C63">
            <v>1954</v>
          </cell>
          <cell r="D63">
            <v>1983</v>
          </cell>
          <cell r="E63">
            <v>14700</v>
          </cell>
          <cell r="I63">
            <v>14700</v>
          </cell>
          <cell r="J63" t="str">
            <v>C</v>
          </cell>
          <cell r="K63" t="str">
            <v>IIND</v>
          </cell>
          <cell r="L63" t="str">
            <v>INFOR</v>
          </cell>
        </row>
        <row r="64">
          <cell r="A64">
            <v>642</v>
          </cell>
          <cell r="B64" t="str">
            <v>MENDOZA ALBAN CARLOS ENRIQUE</v>
          </cell>
          <cell r="C64">
            <v>1961</v>
          </cell>
          <cell r="D64">
            <v>1986</v>
          </cell>
          <cell r="E64">
            <v>7600</v>
          </cell>
          <cell r="I64">
            <v>7600</v>
          </cell>
          <cell r="J64" t="str">
            <v>D</v>
          </cell>
          <cell r="K64" t="str">
            <v>IIND</v>
          </cell>
          <cell r="L64" t="str">
            <v>INFOR</v>
          </cell>
        </row>
        <row r="65">
          <cell r="A65">
            <v>653</v>
          </cell>
          <cell r="B65" t="str">
            <v>TRABUCCO QUEA ALFREDO MARTIN</v>
          </cell>
          <cell r="C65">
            <v>1964</v>
          </cell>
          <cell r="D65">
            <v>1990</v>
          </cell>
          <cell r="E65">
            <v>8729.64</v>
          </cell>
          <cell r="F65">
            <v>1270.3599999999999</v>
          </cell>
          <cell r="I65">
            <v>10000</v>
          </cell>
          <cell r="J65" t="str">
            <v>D</v>
          </cell>
          <cell r="K65" t="str">
            <v>ICIV</v>
          </cell>
          <cell r="L65" t="str">
            <v>MARR</v>
          </cell>
        </row>
        <row r="66">
          <cell r="A66">
            <v>657</v>
          </cell>
          <cell r="B66" t="str">
            <v>FERNANDEZ SALINAS JORGE AMADEO</v>
          </cell>
          <cell r="C66">
            <v>1954</v>
          </cell>
          <cell r="D66">
            <v>1990</v>
          </cell>
          <cell r="E66">
            <v>4282.3599999999997</v>
          </cell>
          <cell r="F66">
            <v>1200</v>
          </cell>
          <cell r="I66">
            <v>5482.36</v>
          </cell>
          <cell r="J66" t="str">
            <v>D</v>
          </cell>
          <cell r="K66" t="str">
            <v>IME</v>
          </cell>
          <cell r="L66" t="str">
            <v>TORAT</v>
          </cell>
        </row>
        <row r="67">
          <cell r="A67">
            <v>665</v>
          </cell>
          <cell r="B67" t="str">
            <v xml:space="preserve">PORTOCARRERO PEREA SEGUNDO  </v>
          </cell>
          <cell r="C67">
            <v>1950</v>
          </cell>
          <cell r="D67">
            <v>1990</v>
          </cell>
          <cell r="E67">
            <v>2735.86</v>
          </cell>
          <cell r="F67">
            <v>891.5</v>
          </cell>
          <cell r="I67">
            <v>3627.36</v>
          </cell>
          <cell r="J67" t="str">
            <v>E</v>
          </cell>
          <cell r="K67" t="str">
            <v>TOP</v>
          </cell>
          <cell r="L67" t="str">
            <v>TORAT</v>
          </cell>
        </row>
        <row r="68">
          <cell r="A68">
            <v>666</v>
          </cell>
          <cell r="B68" t="str">
            <v>RUIZ ALVARO JOSE MIGUEL</v>
          </cell>
          <cell r="C68">
            <v>1936</v>
          </cell>
          <cell r="D68">
            <v>1990</v>
          </cell>
          <cell r="E68">
            <v>6889.84</v>
          </cell>
          <cell r="F68">
            <v>1910.16</v>
          </cell>
          <cell r="I68">
            <v>8800</v>
          </cell>
          <cell r="J68" t="str">
            <v>D</v>
          </cell>
          <cell r="K68" t="str">
            <v>ICIV</v>
          </cell>
          <cell r="L68" t="str">
            <v>RIPLEY</v>
          </cell>
        </row>
        <row r="69">
          <cell r="A69">
            <v>672</v>
          </cell>
          <cell r="B69" t="str">
            <v>MENENDEZ LLERENA JORGE RAUL</v>
          </cell>
          <cell r="C69">
            <v>1958</v>
          </cell>
          <cell r="D69">
            <v>1997</v>
          </cell>
          <cell r="E69">
            <v>4950</v>
          </cell>
          <cell r="I69">
            <v>4950</v>
          </cell>
          <cell r="J69" t="str">
            <v>D</v>
          </cell>
          <cell r="K69" t="str">
            <v>CTD</v>
          </cell>
          <cell r="L69" t="str">
            <v>CTB</v>
          </cell>
        </row>
        <row r="70">
          <cell r="A70">
            <v>673</v>
          </cell>
          <cell r="B70" t="str">
            <v>BUSTAMANTE RODRIGUEZ JORGE ALBERTO</v>
          </cell>
          <cell r="C70">
            <v>1955</v>
          </cell>
          <cell r="D70">
            <v>1990</v>
          </cell>
          <cell r="E70">
            <v>7620.5</v>
          </cell>
          <cell r="F70">
            <v>2161.5</v>
          </cell>
          <cell r="I70">
            <v>9782</v>
          </cell>
          <cell r="J70" t="str">
            <v>C</v>
          </cell>
          <cell r="K70" t="str">
            <v>ARQ</v>
          </cell>
          <cell r="L70" t="str">
            <v>CONC</v>
          </cell>
        </row>
        <row r="71">
          <cell r="A71">
            <v>681</v>
          </cell>
          <cell r="B71" t="str">
            <v>BASTIDAS TIRADO WILLIAM EFRAIN</v>
          </cell>
          <cell r="C71">
            <v>1963</v>
          </cell>
          <cell r="D71">
            <v>1990</v>
          </cell>
          <cell r="E71">
            <v>2663.59</v>
          </cell>
          <cell r="F71">
            <v>254.55</v>
          </cell>
          <cell r="I71">
            <v>2918.14</v>
          </cell>
          <cell r="J71" t="str">
            <v>F</v>
          </cell>
          <cell r="K71" t="str">
            <v>ICIV</v>
          </cell>
          <cell r="L71" t="str">
            <v>LOG</v>
          </cell>
        </row>
        <row r="72">
          <cell r="A72">
            <v>694</v>
          </cell>
          <cell r="B72" t="str">
            <v>QUINTO ALVARADO LUIS MIGUEL</v>
          </cell>
          <cell r="C72">
            <v>1953</v>
          </cell>
          <cell r="D72">
            <v>1990</v>
          </cell>
          <cell r="E72">
            <v>2269.67</v>
          </cell>
          <cell r="F72">
            <v>422.33</v>
          </cell>
          <cell r="I72">
            <v>2692</v>
          </cell>
          <cell r="J72" t="str">
            <v>F</v>
          </cell>
          <cell r="K72" t="str">
            <v>TADM</v>
          </cell>
          <cell r="L72" t="str">
            <v>ACHA</v>
          </cell>
        </row>
        <row r="73">
          <cell r="A73">
            <v>697</v>
          </cell>
          <cell r="B73" t="str">
            <v>GIULFO PALACIOS JUAN MANUEL</v>
          </cell>
          <cell r="C73">
            <v>1963</v>
          </cell>
          <cell r="D73">
            <v>1990</v>
          </cell>
          <cell r="E73">
            <v>5512.4</v>
          </cell>
          <cell r="F73">
            <v>1675.6</v>
          </cell>
          <cell r="I73">
            <v>7188</v>
          </cell>
          <cell r="J73" t="str">
            <v>D</v>
          </cell>
          <cell r="K73" t="str">
            <v>ICIV</v>
          </cell>
          <cell r="L73" t="str">
            <v>RALCO</v>
          </cell>
        </row>
        <row r="74">
          <cell r="A74">
            <v>713</v>
          </cell>
          <cell r="B74" t="str">
            <v>DE LA CRUZ OBREGON LUIS WALTER</v>
          </cell>
          <cell r="C74">
            <v>1952</v>
          </cell>
          <cell r="D74">
            <v>1991</v>
          </cell>
          <cell r="E74">
            <v>7486.97</v>
          </cell>
          <cell r="I74">
            <v>7486.97</v>
          </cell>
          <cell r="J74" t="str">
            <v>E</v>
          </cell>
          <cell r="K74" t="str">
            <v>TEC</v>
          </cell>
          <cell r="L74" t="str">
            <v>PTOS</v>
          </cell>
        </row>
        <row r="75">
          <cell r="A75">
            <v>714</v>
          </cell>
          <cell r="B75" t="str">
            <v>PIMENTEL BARRIO DE MENDO CARLOS ENRIQUE</v>
          </cell>
          <cell r="C75">
            <v>1954</v>
          </cell>
          <cell r="D75">
            <v>1991</v>
          </cell>
          <cell r="E75">
            <v>11713.92</v>
          </cell>
          <cell r="F75">
            <v>2786.08</v>
          </cell>
          <cell r="I75">
            <v>14500</v>
          </cell>
          <cell r="J75" t="str">
            <v>B</v>
          </cell>
          <cell r="K75" t="str">
            <v>ICIV</v>
          </cell>
          <cell r="L75" t="str">
            <v>CHIN</v>
          </cell>
        </row>
        <row r="76">
          <cell r="A76">
            <v>715</v>
          </cell>
          <cell r="B76" t="str">
            <v>MORI LOPEZ CARLOS ARTEMIO</v>
          </cell>
          <cell r="C76">
            <v>1963</v>
          </cell>
          <cell r="D76">
            <v>1991</v>
          </cell>
          <cell r="E76">
            <v>700</v>
          </cell>
          <cell r="I76">
            <v>700</v>
          </cell>
          <cell r="J76" t="str">
            <v>G</v>
          </cell>
          <cell r="K76" t="str">
            <v>PRG</v>
          </cell>
          <cell r="L76" t="str">
            <v>ADMOP</v>
          </cell>
        </row>
        <row r="77">
          <cell r="A77">
            <v>716</v>
          </cell>
          <cell r="B77" t="str">
            <v xml:space="preserve">SAAVEDRA CANESSA SEGUNDO  </v>
          </cell>
          <cell r="C77">
            <v>1959</v>
          </cell>
          <cell r="D77">
            <v>1991</v>
          </cell>
          <cell r="E77">
            <v>6000</v>
          </cell>
          <cell r="I77">
            <v>6000</v>
          </cell>
          <cell r="J77" t="str">
            <v>E</v>
          </cell>
          <cell r="K77" t="str">
            <v>IIND</v>
          </cell>
          <cell r="L77" t="str">
            <v>INFOR</v>
          </cell>
        </row>
        <row r="78">
          <cell r="A78">
            <v>718</v>
          </cell>
          <cell r="B78" t="str">
            <v>FLORES HERRERA NERIO FABRIZZIO</v>
          </cell>
          <cell r="C78">
            <v>1963</v>
          </cell>
          <cell r="D78">
            <v>1991</v>
          </cell>
          <cell r="E78">
            <v>4000</v>
          </cell>
          <cell r="I78">
            <v>4000</v>
          </cell>
          <cell r="J78" t="str">
            <v>E</v>
          </cell>
          <cell r="K78" t="str">
            <v>CTD</v>
          </cell>
          <cell r="L78" t="str">
            <v>CTB</v>
          </cell>
        </row>
        <row r="79">
          <cell r="A79">
            <v>725</v>
          </cell>
          <cell r="B79" t="str">
            <v xml:space="preserve">ESCOBEDO OBLITAS CESAR  </v>
          </cell>
          <cell r="C79">
            <v>1959</v>
          </cell>
          <cell r="D79">
            <v>1991</v>
          </cell>
          <cell r="E79">
            <v>3835.74</v>
          </cell>
          <cell r="F79">
            <v>3944.26</v>
          </cell>
          <cell r="I79">
            <v>7780</v>
          </cell>
          <cell r="J79" t="str">
            <v>E</v>
          </cell>
          <cell r="K79" t="str">
            <v>ICIV</v>
          </cell>
          <cell r="L79" t="str">
            <v>CHIMU</v>
          </cell>
        </row>
        <row r="80">
          <cell r="A80">
            <v>737</v>
          </cell>
          <cell r="B80" t="str">
            <v xml:space="preserve">MASCIOTTI GOMEZ JIMMY  </v>
          </cell>
          <cell r="C80">
            <v>1960</v>
          </cell>
          <cell r="D80">
            <v>1991</v>
          </cell>
          <cell r="E80">
            <v>16275</v>
          </cell>
          <cell r="F80">
            <v>5610.2</v>
          </cell>
          <cell r="I80">
            <v>21885.200000000001</v>
          </cell>
          <cell r="J80" t="str">
            <v>B</v>
          </cell>
          <cell r="K80" t="str">
            <v>ICIV</v>
          </cell>
          <cell r="L80" t="str">
            <v>ANTM</v>
          </cell>
        </row>
        <row r="81">
          <cell r="A81">
            <v>738</v>
          </cell>
          <cell r="B81" t="str">
            <v>GOYTIZOLO GUERRERO JORGE EULOGIO</v>
          </cell>
          <cell r="C81">
            <v>1938</v>
          </cell>
          <cell r="D81">
            <v>1991</v>
          </cell>
          <cell r="E81">
            <v>3132.02</v>
          </cell>
          <cell r="F81">
            <v>900</v>
          </cell>
          <cell r="I81">
            <v>4032.02</v>
          </cell>
          <cell r="J81" t="str">
            <v>H</v>
          </cell>
          <cell r="K81" t="str">
            <v>TADM</v>
          </cell>
          <cell r="L81" t="str">
            <v>OXI99</v>
          </cell>
        </row>
        <row r="82">
          <cell r="A82">
            <v>740</v>
          </cell>
          <cell r="B82" t="str">
            <v xml:space="preserve">TAKEMOTO KAWAMOTO FERNANDO </v>
          </cell>
          <cell r="C82">
            <v>1953</v>
          </cell>
          <cell r="D82">
            <v>1991</v>
          </cell>
          <cell r="E82">
            <v>3145.04</v>
          </cell>
          <cell r="F82">
            <v>900</v>
          </cell>
          <cell r="I82">
            <v>4045.04</v>
          </cell>
          <cell r="J82" t="str">
            <v>E</v>
          </cell>
          <cell r="K82" t="str">
            <v>TEC</v>
          </cell>
          <cell r="L82" t="str">
            <v>CHIN</v>
          </cell>
        </row>
        <row r="83">
          <cell r="A83">
            <v>741</v>
          </cell>
          <cell r="B83" t="str">
            <v xml:space="preserve">GALARZA VEGA DANILO  </v>
          </cell>
          <cell r="C83">
            <v>1950</v>
          </cell>
          <cell r="D83">
            <v>1991</v>
          </cell>
          <cell r="E83">
            <v>10068.61</v>
          </cell>
          <cell r="F83">
            <v>931.4</v>
          </cell>
          <cell r="I83">
            <v>11000.01</v>
          </cell>
          <cell r="J83" t="str">
            <v>D</v>
          </cell>
          <cell r="K83" t="str">
            <v>ICIV</v>
          </cell>
          <cell r="L83" t="str">
            <v>MARR</v>
          </cell>
        </row>
        <row r="84">
          <cell r="A84">
            <v>748</v>
          </cell>
          <cell r="B84" t="str">
            <v>RODRIGUEZ PERALTA VICTOR MANUEL</v>
          </cell>
          <cell r="C84">
            <v>1951</v>
          </cell>
          <cell r="D84">
            <v>1991</v>
          </cell>
          <cell r="E84">
            <v>2010.19</v>
          </cell>
          <cell r="F84">
            <v>589.80999999999995</v>
          </cell>
          <cell r="I84">
            <v>2600</v>
          </cell>
          <cell r="J84" t="str">
            <v>H</v>
          </cell>
          <cell r="K84">
            <v>0</v>
          </cell>
          <cell r="L84" t="str">
            <v>DCHOL</v>
          </cell>
        </row>
        <row r="85">
          <cell r="A85">
            <v>749</v>
          </cell>
          <cell r="B85" t="str">
            <v>MEDINA CENTTI MIRIAM YRIS</v>
          </cell>
          <cell r="C85">
            <v>1963</v>
          </cell>
          <cell r="D85">
            <v>1991</v>
          </cell>
          <cell r="E85">
            <v>1141.6600000000001</v>
          </cell>
          <cell r="F85">
            <v>158.34</v>
          </cell>
          <cell r="I85">
            <v>1300</v>
          </cell>
          <cell r="J85" t="str">
            <v>F</v>
          </cell>
          <cell r="K85" t="str">
            <v>SEC</v>
          </cell>
          <cell r="L85" t="str">
            <v>SEDMT</v>
          </cell>
        </row>
        <row r="86">
          <cell r="A86">
            <v>758</v>
          </cell>
          <cell r="B86" t="str">
            <v>FARFAN RAGGIO MARTHA NATALIA</v>
          </cell>
          <cell r="C86">
            <v>1972</v>
          </cell>
          <cell r="D86">
            <v>1991</v>
          </cell>
          <cell r="E86">
            <v>2000</v>
          </cell>
          <cell r="I86">
            <v>2000</v>
          </cell>
          <cell r="J86" t="str">
            <v>E</v>
          </cell>
          <cell r="K86" t="str">
            <v>SEC</v>
          </cell>
          <cell r="L86" t="str">
            <v>INFOR</v>
          </cell>
        </row>
        <row r="87">
          <cell r="A87">
            <v>759</v>
          </cell>
          <cell r="B87" t="str">
            <v>VALENZUELA SAMAME NESTOR RAUL</v>
          </cell>
          <cell r="C87">
            <v>1961</v>
          </cell>
          <cell r="D87">
            <v>1991</v>
          </cell>
          <cell r="E87">
            <v>2518.5300000000002</v>
          </cell>
          <cell r="F87">
            <v>707.16</v>
          </cell>
          <cell r="I87">
            <v>3225.69</v>
          </cell>
          <cell r="J87" t="str">
            <v>E</v>
          </cell>
          <cell r="K87" t="str">
            <v>CTD</v>
          </cell>
          <cell r="L87" t="str">
            <v>PIER</v>
          </cell>
        </row>
        <row r="88">
          <cell r="A88">
            <v>760</v>
          </cell>
          <cell r="B88" t="str">
            <v>CHANCAFE PIZARRO WILLIAM SEGUNDO</v>
          </cell>
          <cell r="C88">
            <v>1959</v>
          </cell>
          <cell r="D88">
            <v>1991</v>
          </cell>
          <cell r="E88">
            <v>2891.09</v>
          </cell>
          <cell r="F88">
            <v>272.91000000000003</v>
          </cell>
          <cell r="I88">
            <v>3164</v>
          </cell>
          <cell r="J88" t="str">
            <v>F</v>
          </cell>
          <cell r="K88" t="str">
            <v>ADM</v>
          </cell>
          <cell r="L88" t="str">
            <v>SED16</v>
          </cell>
        </row>
        <row r="89">
          <cell r="A89">
            <v>770</v>
          </cell>
          <cell r="B89" t="str">
            <v>DEL SOLAR SANTA CRUZ LUZ GABRIELA</v>
          </cell>
          <cell r="C89">
            <v>1954</v>
          </cell>
          <cell r="D89">
            <v>1991</v>
          </cell>
          <cell r="E89">
            <v>1910</v>
          </cell>
          <cell r="I89">
            <v>1910</v>
          </cell>
          <cell r="J89" t="str">
            <v>E</v>
          </cell>
          <cell r="K89" t="str">
            <v>SEC</v>
          </cell>
          <cell r="L89" t="str">
            <v>PAT1</v>
          </cell>
        </row>
        <row r="90">
          <cell r="A90">
            <v>774</v>
          </cell>
          <cell r="B90" t="str">
            <v xml:space="preserve">VASQUEZ MIRANDA DAVID  </v>
          </cell>
          <cell r="C90">
            <v>1949</v>
          </cell>
          <cell r="D90">
            <v>1991</v>
          </cell>
          <cell r="E90">
            <v>9506.91</v>
          </cell>
          <cell r="F90">
            <v>3089.44</v>
          </cell>
          <cell r="I90">
            <v>12596.35</v>
          </cell>
          <cell r="J90" t="str">
            <v>D</v>
          </cell>
          <cell r="K90" t="str">
            <v>IMIN</v>
          </cell>
          <cell r="L90" t="str">
            <v>TORAT</v>
          </cell>
        </row>
        <row r="91">
          <cell r="A91">
            <v>777</v>
          </cell>
          <cell r="B91" t="str">
            <v xml:space="preserve">LAZO ALONSO DIMAS  </v>
          </cell>
          <cell r="C91">
            <v>1959</v>
          </cell>
          <cell r="D91">
            <v>1992</v>
          </cell>
          <cell r="E91">
            <v>4550.33</v>
          </cell>
          <cell r="F91">
            <v>1470</v>
          </cell>
          <cell r="I91">
            <v>6020.33</v>
          </cell>
          <cell r="J91" t="str">
            <v>D</v>
          </cell>
          <cell r="K91" t="str">
            <v>IMEL</v>
          </cell>
          <cell r="L91" t="str">
            <v>TORAT</v>
          </cell>
        </row>
        <row r="92">
          <cell r="A92">
            <v>782</v>
          </cell>
          <cell r="B92" t="str">
            <v>GRAÑA CANEPA MARIA TERESA</v>
          </cell>
          <cell r="C92">
            <v>1971</v>
          </cell>
          <cell r="D92">
            <v>1992</v>
          </cell>
          <cell r="E92">
            <v>2700</v>
          </cell>
          <cell r="I92">
            <v>2700</v>
          </cell>
          <cell r="J92" t="str">
            <v>H</v>
          </cell>
          <cell r="K92" t="str">
            <v>DIB</v>
          </cell>
          <cell r="L92" t="str">
            <v>DCHOL</v>
          </cell>
        </row>
        <row r="93">
          <cell r="A93">
            <v>799</v>
          </cell>
          <cell r="B93" t="str">
            <v xml:space="preserve">TAPIA NUÑEZ FELIX  </v>
          </cell>
          <cell r="C93">
            <v>1944</v>
          </cell>
          <cell r="D93">
            <v>1993</v>
          </cell>
          <cell r="E93">
            <v>10039.14</v>
          </cell>
          <cell r="F93">
            <v>960.86</v>
          </cell>
          <cell r="I93">
            <v>11000</v>
          </cell>
          <cell r="J93" t="str">
            <v>D</v>
          </cell>
          <cell r="K93" t="str">
            <v>IMEL</v>
          </cell>
          <cell r="L93" t="str">
            <v>MARR</v>
          </cell>
        </row>
        <row r="94">
          <cell r="A94">
            <v>800</v>
          </cell>
          <cell r="B94" t="str">
            <v>TELLO COLLANTES MARY LILEY</v>
          </cell>
          <cell r="C94">
            <v>1964</v>
          </cell>
          <cell r="D94">
            <v>1992</v>
          </cell>
          <cell r="E94">
            <v>2167.6799999999998</v>
          </cell>
          <cell r="F94">
            <v>840</v>
          </cell>
          <cell r="I94">
            <v>3007.68</v>
          </cell>
          <cell r="J94" t="str">
            <v>F</v>
          </cell>
          <cell r="K94" t="str">
            <v>ASOC</v>
          </cell>
          <cell r="L94" t="str">
            <v>ACHA</v>
          </cell>
        </row>
        <row r="95">
          <cell r="A95">
            <v>802</v>
          </cell>
          <cell r="B95" t="str">
            <v>MILLER IBAÑEZ JAVIER ALBERTO</v>
          </cell>
          <cell r="C95">
            <v>1954</v>
          </cell>
          <cell r="D95">
            <v>1992</v>
          </cell>
          <cell r="E95">
            <v>6022.54</v>
          </cell>
          <cell r="F95">
            <v>877.46</v>
          </cell>
          <cell r="I95">
            <v>6900</v>
          </cell>
          <cell r="J95" t="str">
            <v>E</v>
          </cell>
          <cell r="K95" t="str">
            <v>TADM</v>
          </cell>
          <cell r="L95" t="str">
            <v>MARR</v>
          </cell>
        </row>
        <row r="96">
          <cell r="A96">
            <v>811</v>
          </cell>
          <cell r="B96" t="str">
            <v xml:space="preserve">ORMENO DURAND ALEJANDRO  </v>
          </cell>
          <cell r="C96">
            <v>1966</v>
          </cell>
          <cell r="D96">
            <v>1992</v>
          </cell>
          <cell r="E96">
            <v>8747.16</v>
          </cell>
          <cell r="F96">
            <v>852.85</v>
          </cell>
          <cell r="I96">
            <v>9600.01</v>
          </cell>
          <cell r="J96" t="str">
            <v>D</v>
          </cell>
          <cell r="K96" t="str">
            <v>ICIV</v>
          </cell>
          <cell r="L96" t="str">
            <v>MARR</v>
          </cell>
        </row>
        <row r="97">
          <cell r="A97">
            <v>818</v>
          </cell>
          <cell r="B97" t="str">
            <v>ZOLLA DIAZ JOSE ANTONIO</v>
          </cell>
          <cell r="C97">
            <v>1967</v>
          </cell>
          <cell r="D97">
            <v>1993</v>
          </cell>
          <cell r="E97">
            <v>10448.66</v>
          </cell>
          <cell r="F97">
            <v>3051.34</v>
          </cell>
          <cell r="I97">
            <v>13500</v>
          </cell>
          <cell r="J97" t="str">
            <v>C</v>
          </cell>
          <cell r="K97" t="str">
            <v>IMEL</v>
          </cell>
          <cell r="L97" t="str">
            <v>MEX</v>
          </cell>
        </row>
        <row r="98">
          <cell r="A98">
            <v>821</v>
          </cell>
          <cell r="B98" t="str">
            <v xml:space="preserve">ELIAS BONNEMAIS GRANA RICARDO  </v>
          </cell>
          <cell r="C98">
            <v>1935</v>
          </cell>
          <cell r="D98">
            <v>1993</v>
          </cell>
          <cell r="E98">
            <v>410</v>
          </cell>
          <cell r="I98">
            <v>410</v>
          </cell>
          <cell r="J98" t="str">
            <v>s/c</v>
          </cell>
          <cell r="K98">
            <v>0</v>
          </cell>
          <cell r="L98" t="str">
            <v>DCTER</v>
          </cell>
        </row>
        <row r="99">
          <cell r="A99">
            <v>829</v>
          </cell>
          <cell r="B99" t="str">
            <v>GOMEZ BOZA MILUSKA KAREM</v>
          </cell>
          <cell r="C99">
            <v>1969</v>
          </cell>
          <cell r="D99">
            <v>1993</v>
          </cell>
          <cell r="E99">
            <v>2360</v>
          </cell>
          <cell r="I99">
            <v>2360</v>
          </cell>
          <cell r="J99" t="str">
            <v>E</v>
          </cell>
          <cell r="K99" t="str">
            <v>TADM</v>
          </cell>
          <cell r="L99" t="str">
            <v>FIN</v>
          </cell>
        </row>
        <row r="100">
          <cell r="A100">
            <v>844</v>
          </cell>
          <cell r="B100" t="str">
            <v>MONTENEGRO CUEVA PEDRO MANUEL</v>
          </cell>
          <cell r="C100">
            <v>1962</v>
          </cell>
          <cell r="D100">
            <v>1993</v>
          </cell>
          <cell r="E100">
            <v>6814.83</v>
          </cell>
          <cell r="F100">
            <v>1985.17</v>
          </cell>
          <cell r="I100">
            <v>8800</v>
          </cell>
          <cell r="J100" t="str">
            <v>C</v>
          </cell>
          <cell r="K100" t="str">
            <v>ICIV</v>
          </cell>
          <cell r="L100" t="str">
            <v>BROC</v>
          </cell>
        </row>
        <row r="101">
          <cell r="A101">
            <v>851</v>
          </cell>
          <cell r="B101" t="str">
            <v>VERA MALLQUI ARTURO ANTONIO</v>
          </cell>
          <cell r="C101">
            <v>1965</v>
          </cell>
          <cell r="D101">
            <v>1993</v>
          </cell>
          <cell r="E101">
            <v>6839.78</v>
          </cell>
          <cell r="F101">
            <v>660.23</v>
          </cell>
          <cell r="I101">
            <v>7500.01</v>
          </cell>
          <cell r="J101" t="str">
            <v>D</v>
          </cell>
          <cell r="K101" t="str">
            <v>ICIV</v>
          </cell>
          <cell r="L101" t="str">
            <v>SED7</v>
          </cell>
        </row>
        <row r="102">
          <cell r="A102">
            <v>852</v>
          </cell>
          <cell r="B102" t="str">
            <v>CARLIN GAVIRIA LUIS JULIO</v>
          </cell>
          <cell r="C102">
            <v>1959</v>
          </cell>
          <cell r="D102">
            <v>1993</v>
          </cell>
          <cell r="E102">
            <v>3647.91</v>
          </cell>
          <cell r="F102">
            <v>351.29</v>
          </cell>
          <cell r="I102">
            <v>3999.2</v>
          </cell>
          <cell r="J102" t="str">
            <v>F</v>
          </cell>
          <cell r="K102" t="str">
            <v>CTD</v>
          </cell>
          <cell r="L102" t="str">
            <v>SEDMT</v>
          </cell>
        </row>
        <row r="103">
          <cell r="A103">
            <v>858</v>
          </cell>
          <cell r="B103" t="str">
            <v>MACEDO ZEGARRA HENRY BACILIO</v>
          </cell>
          <cell r="C103">
            <v>1958</v>
          </cell>
          <cell r="D103">
            <v>1993</v>
          </cell>
          <cell r="E103">
            <v>4209.74</v>
          </cell>
          <cell r="F103">
            <v>1234.26</v>
          </cell>
          <cell r="I103">
            <v>5444</v>
          </cell>
          <cell r="J103" t="str">
            <v>F</v>
          </cell>
          <cell r="K103" t="str">
            <v>IMET</v>
          </cell>
          <cell r="L103" t="str">
            <v>ANTM</v>
          </cell>
        </row>
        <row r="104">
          <cell r="A104">
            <v>860</v>
          </cell>
          <cell r="B104" t="str">
            <v xml:space="preserve">ARCAYA VERNAL CONSTANTINO </v>
          </cell>
          <cell r="C104">
            <v>1950</v>
          </cell>
          <cell r="D104">
            <v>2000</v>
          </cell>
          <cell r="E104">
            <v>10370</v>
          </cell>
          <cell r="F104">
            <v>3630</v>
          </cell>
          <cell r="I104">
            <v>14000</v>
          </cell>
          <cell r="J104" t="str">
            <v>C</v>
          </cell>
          <cell r="K104" t="str">
            <v>ICIV</v>
          </cell>
          <cell r="L104" t="str">
            <v>ANTM</v>
          </cell>
        </row>
        <row r="105">
          <cell r="A105">
            <v>861</v>
          </cell>
          <cell r="B105" t="str">
            <v>SAENZ PACHECO RICARDO IGNACIO</v>
          </cell>
          <cell r="C105">
            <v>1963</v>
          </cell>
          <cell r="D105">
            <v>1993</v>
          </cell>
          <cell r="E105">
            <v>6636.44</v>
          </cell>
          <cell r="F105">
            <v>2275</v>
          </cell>
          <cell r="I105">
            <v>8911.44</v>
          </cell>
          <cell r="J105" t="str">
            <v>E</v>
          </cell>
          <cell r="K105" t="str">
            <v>ICIV</v>
          </cell>
          <cell r="L105" t="str">
            <v>TORAT</v>
          </cell>
        </row>
        <row r="106">
          <cell r="A106">
            <v>863</v>
          </cell>
          <cell r="B106" t="str">
            <v>MERCADO SCARNEO HECTOR EDMUNDO</v>
          </cell>
          <cell r="C106">
            <v>1965</v>
          </cell>
          <cell r="D106">
            <v>1993</v>
          </cell>
          <cell r="E106">
            <v>11604</v>
          </cell>
          <cell r="F106">
            <v>4061.4</v>
          </cell>
          <cell r="I106">
            <v>15665.4</v>
          </cell>
          <cell r="J106" t="str">
            <v>C</v>
          </cell>
          <cell r="K106" t="str">
            <v>ICIV</v>
          </cell>
          <cell r="L106" t="str">
            <v>ACHA</v>
          </cell>
        </row>
        <row r="107">
          <cell r="A107">
            <v>867</v>
          </cell>
          <cell r="B107" t="str">
            <v>OLIVERO GROPPO MILAGRITOS TATIANA</v>
          </cell>
          <cell r="C107">
            <v>1969</v>
          </cell>
          <cell r="D107">
            <v>1993</v>
          </cell>
          <cell r="E107">
            <v>3700</v>
          </cell>
          <cell r="I107">
            <v>3700</v>
          </cell>
          <cell r="J107" t="str">
            <v>D</v>
          </cell>
          <cell r="K107" t="str">
            <v>ECON</v>
          </cell>
          <cell r="L107" t="str">
            <v>GGCEQ</v>
          </cell>
        </row>
        <row r="108">
          <cell r="A108">
            <v>871</v>
          </cell>
          <cell r="B108" t="str">
            <v>DONAYRE REVILLA BEATRIZ CONSUELO</v>
          </cell>
          <cell r="C108">
            <v>1966</v>
          </cell>
          <cell r="D108">
            <v>1993</v>
          </cell>
          <cell r="E108">
            <v>4933.2</v>
          </cell>
          <cell r="I108">
            <v>4933.2</v>
          </cell>
          <cell r="J108" t="str">
            <v>E</v>
          </cell>
          <cell r="K108" t="str">
            <v>ICIV</v>
          </cell>
          <cell r="L108" t="str">
            <v>PTOS</v>
          </cell>
        </row>
        <row r="109">
          <cell r="A109">
            <v>881</v>
          </cell>
          <cell r="B109" t="str">
            <v>QUIÑONES LAVARELLO MONICA PILAR</v>
          </cell>
          <cell r="C109">
            <v>1966</v>
          </cell>
          <cell r="D109">
            <v>1993</v>
          </cell>
          <cell r="E109">
            <v>3600</v>
          </cell>
          <cell r="I109">
            <v>3600</v>
          </cell>
          <cell r="J109" t="str">
            <v>E</v>
          </cell>
          <cell r="K109" t="str">
            <v>SEC</v>
          </cell>
          <cell r="L109" t="str">
            <v>DCGyM</v>
          </cell>
        </row>
        <row r="110">
          <cell r="A110">
            <v>883</v>
          </cell>
          <cell r="B110" t="str">
            <v xml:space="preserve">KOROLIJA PECOTIC ANDRIJA  </v>
          </cell>
          <cell r="C110">
            <v>1947</v>
          </cell>
          <cell r="D110">
            <v>1993</v>
          </cell>
          <cell r="E110">
            <v>11700</v>
          </cell>
          <cell r="I110">
            <v>11700</v>
          </cell>
          <cell r="J110" t="str">
            <v>C</v>
          </cell>
          <cell r="K110" t="str">
            <v>IMEL</v>
          </cell>
          <cell r="L110" t="str">
            <v>CEQMT</v>
          </cell>
        </row>
        <row r="111">
          <cell r="A111">
            <v>886</v>
          </cell>
          <cell r="B111" t="str">
            <v xml:space="preserve">DULANTO PEDREROS JOHANNA  </v>
          </cell>
          <cell r="C111">
            <v>1973</v>
          </cell>
          <cell r="D111">
            <v>1994</v>
          </cell>
          <cell r="E111">
            <v>2005.01</v>
          </cell>
          <cell r="I111">
            <v>2005.01</v>
          </cell>
          <cell r="J111" t="str">
            <v>E</v>
          </cell>
          <cell r="K111" t="str">
            <v>SEC</v>
          </cell>
          <cell r="L111" t="str">
            <v>DIVIOC</v>
          </cell>
        </row>
        <row r="112">
          <cell r="A112">
            <v>898</v>
          </cell>
          <cell r="B112" t="str">
            <v>MENDOZA CASTRO MARIELA PATRICIA</v>
          </cell>
          <cell r="C112">
            <v>1966</v>
          </cell>
          <cell r="D112">
            <v>1994</v>
          </cell>
          <cell r="E112">
            <v>1900</v>
          </cell>
          <cell r="I112">
            <v>1900</v>
          </cell>
          <cell r="J112" t="str">
            <v>F</v>
          </cell>
          <cell r="K112" t="str">
            <v>SEC</v>
          </cell>
          <cell r="L112" t="str">
            <v>LOG</v>
          </cell>
        </row>
        <row r="113">
          <cell r="A113">
            <v>900</v>
          </cell>
          <cell r="B113" t="str">
            <v xml:space="preserve">ACHULLA BRAVO RAUL  </v>
          </cell>
          <cell r="C113">
            <v>1956</v>
          </cell>
          <cell r="D113">
            <v>1994</v>
          </cell>
          <cell r="E113">
            <v>2590.08</v>
          </cell>
          <cell r="F113">
            <v>758.92</v>
          </cell>
          <cell r="I113">
            <v>3349</v>
          </cell>
          <cell r="J113" t="str">
            <v>F</v>
          </cell>
          <cell r="K113" t="str">
            <v>TOP</v>
          </cell>
          <cell r="L113" t="str">
            <v>CHIN</v>
          </cell>
        </row>
        <row r="114">
          <cell r="A114">
            <v>901</v>
          </cell>
          <cell r="B114" t="str">
            <v xml:space="preserve">CARRILLO THORNE MANUEL  </v>
          </cell>
          <cell r="C114">
            <v>1956</v>
          </cell>
          <cell r="D114">
            <v>1994</v>
          </cell>
          <cell r="E114">
            <v>17414</v>
          </cell>
          <cell r="I114">
            <v>17414</v>
          </cell>
          <cell r="J114" t="str">
            <v>H</v>
          </cell>
          <cell r="K114" t="str">
            <v>ECON</v>
          </cell>
          <cell r="L114" t="str">
            <v>DCHOL</v>
          </cell>
        </row>
        <row r="115">
          <cell r="A115">
            <v>903</v>
          </cell>
          <cell r="B115" t="str">
            <v>WERTHEMAN RIVAS JORGE ERNESTO</v>
          </cell>
          <cell r="C115">
            <v>1960</v>
          </cell>
          <cell r="D115">
            <v>1994</v>
          </cell>
          <cell r="E115">
            <v>4950.43</v>
          </cell>
          <cell r="F115">
            <v>1645</v>
          </cell>
          <cell r="I115">
            <v>6595.43</v>
          </cell>
          <cell r="J115" t="str">
            <v>D</v>
          </cell>
          <cell r="K115" t="str">
            <v>ICIV</v>
          </cell>
          <cell r="L115" t="str">
            <v>3M</v>
          </cell>
        </row>
        <row r="116">
          <cell r="A116">
            <v>912</v>
          </cell>
          <cell r="B116" t="str">
            <v>VILCAHUAMAN CAJACURI NILO PERCY</v>
          </cell>
          <cell r="C116">
            <v>1960</v>
          </cell>
          <cell r="D116">
            <v>1994</v>
          </cell>
          <cell r="E116">
            <v>7725</v>
          </cell>
          <cell r="I116">
            <v>7725</v>
          </cell>
          <cell r="J116" t="str">
            <v>E</v>
          </cell>
          <cell r="K116" t="str">
            <v>ICIV</v>
          </cell>
          <cell r="L116" t="str">
            <v>DIVIOC</v>
          </cell>
        </row>
        <row r="117">
          <cell r="A117">
            <v>917</v>
          </cell>
          <cell r="B117" t="str">
            <v>RAYGADA BREGANTE JORGE LUIS</v>
          </cell>
          <cell r="C117">
            <v>1965</v>
          </cell>
          <cell r="D117">
            <v>1994</v>
          </cell>
          <cell r="E117">
            <v>5248.8</v>
          </cell>
          <cell r="F117">
            <v>501.2</v>
          </cell>
          <cell r="I117">
            <v>5750</v>
          </cell>
          <cell r="J117" t="str">
            <v>D</v>
          </cell>
          <cell r="K117" t="str">
            <v>ICIV</v>
          </cell>
          <cell r="L117" t="str">
            <v>SEDMT</v>
          </cell>
        </row>
        <row r="118">
          <cell r="A118">
            <v>918</v>
          </cell>
          <cell r="B118" t="str">
            <v>BRACAMONTE CAMACHO MIGUEL ANGEL</v>
          </cell>
          <cell r="C118">
            <v>1970</v>
          </cell>
          <cell r="D118">
            <v>1994</v>
          </cell>
          <cell r="E118">
            <v>4180.59</v>
          </cell>
          <cell r="F118">
            <v>619.41</v>
          </cell>
          <cell r="I118">
            <v>4800</v>
          </cell>
          <cell r="J118" t="str">
            <v>E</v>
          </cell>
          <cell r="K118" t="str">
            <v>ICIV</v>
          </cell>
          <cell r="L118" t="str">
            <v>MARR</v>
          </cell>
        </row>
        <row r="119">
          <cell r="A119">
            <v>919</v>
          </cell>
          <cell r="B119" t="str">
            <v>ACOSTA MEDINA CECILIA LEONOR</v>
          </cell>
          <cell r="C119">
            <v>1971</v>
          </cell>
          <cell r="D119">
            <v>1994</v>
          </cell>
          <cell r="E119">
            <v>3926</v>
          </cell>
          <cell r="F119">
            <v>387.7</v>
          </cell>
          <cell r="I119">
            <v>4313.7</v>
          </cell>
          <cell r="J119" t="str">
            <v>F</v>
          </cell>
          <cell r="K119" t="str">
            <v>ICIV</v>
          </cell>
          <cell r="L119" t="str">
            <v>SED7</v>
          </cell>
        </row>
        <row r="120">
          <cell r="A120">
            <v>921</v>
          </cell>
          <cell r="B120" t="str">
            <v>JORDAN MUSSO RODOLFO RICARDO</v>
          </cell>
          <cell r="C120">
            <v>1952</v>
          </cell>
          <cell r="D120">
            <v>1994</v>
          </cell>
          <cell r="E120">
            <v>2915</v>
          </cell>
          <cell r="I120">
            <v>2915</v>
          </cell>
          <cell r="J120" t="str">
            <v>A</v>
          </cell>
          <cell r="K120" t="str">
            <v>ICIV</v>
          </cell>
          <cell r="L120" t="str">
            <v>MEX</v>
          </cell>
        </row>
        <row r="121">
          <cell r="A121">
            <v>925</v>
          </cell>
          <cell r="B121" t="str">
            <v>CROSBY ROBINSON ANDRES JAIME</v>
          </cell>
          <cell r="C121">
            <v>1955</v>
          </cell>
          <cell r="D121">
            <v>1999</v>
          </cell>
          <cell r="E121">
            <v>17000</v>
          </cell>
          <cell r="I121">
            <v>17000</v>
          </cell>
          <cell r="J121" t="str">
            <v>C</v>
          </cell>
          <cell r="K121" t="str">
            <v>IME</v>
          </cell>
          <cell r="L121" t="str">
            <v>DIVIOC</v>
          </cell>
        </row>
        <row r="122">
          <cell r="A122">
            <v>931</v>
          </cell>
          <cell r="B122" t="str">
            <v>TORRES PINEDO MIGUEL ANGEL</v>
          </cell>
          <cell r="C122">
            <v>1970</v>
          </cell>
          <cell r="D122">
            <v>1994</v>
          </cell>
          <cell r="E122">
            <v>2198.87</v>
          </cell>
          <cell r="F122">
            <v>651.34</v>
          </cell>
          <cell r="I122">
            <v>2850.21</v>
          </cell>
          <cell r="J122" t="str">
            <v>F</v>
          </cell>
          <cell r="K122" t="str">
            <v>ADM</v>
          </cell>
          <cell r="L122" t="str">
            <v>LTMS</v>
          </cell>
        </row>
        <row r="123">
          <cell r="A123">
            <v>932</v>
          </cell>
          <cell r="B123" t="str">
            <v>GUERRA AMES NORKA LIZ</v>
          </cell>
          <cell r="C123">
            <v>1972</v>
          </cell>
          <cell r="D123">
            <v>1994</v>
          </cell>
          <cell r="E123">
            <v>4000</v>
          </cell>
          <cell r="I123">
            <v>4000</v>
          </cell>
          <cell r="J123" t="str">
            <v>E</v>
          </cell>
          <cell r="K123" t="str">
            <v>ISIS</v>
          </cell>
          <cell r="L123" t="str">
            <v>INFOR</v>
          </cell>
        </row>
        <row r="124">
          <cell r="A124">
            <v>944</v>
          </cell>
          <cell r="B124" t="str">
            <v>CASTILLO MIRANDA YANINA NOEMA</v>
          </cell>
          <cell r="C124">
            <v>1965</v>
          </cell>
          <cell r="D124">
            <v>1994</v>
          </cell>
          <cell r="E124">
            <v>2500</v>
          </cell>
          <cell r="I124">
            <v>2500</v>
          </cell>
          <cell r="J124" t="str">
            <v>H</v>
          </cell>
          <cell r="K124" t="str">
            <v>CTD</v>
          </cell>
          <cell r="L124" t="str">
            <v>DCHOL</v>
          </cell>
        </row>
        <row r="125">
          <cell r="A125">
            <v>948</v>
          </cell>
          <cell r="B125" t="str">
            <v>BELTRAN MOLINA JORGE HUGO</v>
          </cell>
          <cell r="C125">
            <v>1965</v>
          </cell>
          <cell r="D125">
            <v>1994</v>
          </cell>
          <cell r="E125">
            <v>4000</v>
          </cell>
          <cell r="I125">
            <v>4000</v>
          </cell>
          <cell r="J125" t="str">
            <v>E</v>
          </cell>
          <cell r="K125" t="str">
            <v>ICIV</v>
          </cell>
          <cell r="L125" t="str">
            <v>RALCO</v>
          </cell>
        </row>
        <row r="126">
          <cell r="A126">
            <v>949</v>
          </cell>
          <cell r="B126" t="str">
            <v xml:space="preserve">GANOZA RODRIGUEZ AUGUSTO  </v>
          </cell>
          <cell r="C126">
            <v>1968</v>
          </cell>
          <cell r="D126">
            <v>1995</v>
          </cell>
          <cell r="E126">
            <v>10446.83</v>
          </cell>
          <cell r="F126">
            <v>1553.17</v>
          </cell>
          <cell r="I126">
            <v>12000</v>
          </cell>
          <cell r="J126" t="str">
            <v>B</v>
          </cell>
          <cell r="K126" t="str">
            <v>IIND</v>
          </cell>
          <cell r="L126" t="str">
            <v>SEDMT</v>
          </cell>
        </row>
        <row r="127">
          <cell r="A127">
            <v>954</v>
          </cell>
          <cell r="B127" t="str">
            <v>DEL RIO RENDON JUAN CARLOS</v>
          </cell>
          <cell r="C127">
            <v>1969</v>
          </cell>
          <cell r="D127">
            <v>1995</v>
          </cell>
          <cell r="E127">
            <v>5227.2700000000004</v>
          </cell>
          <cell r="F127">
            <v>522.73</v>
          </cell>
          <cell r="I127">
            <v>5750</v>
          </cell>
          <cell r="J127" t="str">
            <v>D</v>
          </cell>
          <cell r="K127" t="str">
            <v>ICIV</v>
          </cell>
          <cell r="L127" t="str">
            <v>SED 16</v>
          </cell>
        </row>
        <row r="128">
          <cell r="A128">
            <v>955</v>
          </cell>
          <cell r="B128" t="str">
            <v>GRAY CHICCHON JOHN EDWARDS</v>
          </cell>
          <cell r="C128">
            <v>1973</v>
          </cell>
          <cell r="D128">
            <v>1995</v>
          </cell>
          <cell r="E128">
            <v>3300</v>
          </cell>
          <cell r="I128">
            <v>3300</v>
          </cell>
          <cell r="J128" t="str">
            <v>E</v>
          </cell>
          <cell r="K128" t="str">
            <v>ABG</v>
          </cell>
          <cell r="L128" t="str">
            <v>PTOS</v>
          </cell>
        </row>
        <row r="129">
          <cell r="A129">
            <v>958</v>
          </cell>
          <cell r="B129" t="str">
            <v>CABELLOS VASQUEZ EDUARDO RICARDO</v>
          </cell>
          <cell r="C129">
            <v>1941</v>
          </cell>
          <cell r="D129">
            <v>1991</v>
          </cell>
          <cell r="E129">
            <v>2635.18</v>
          </cell>
          <cell r="F129">
            <v>764.82</v>
          </cell>
          <cell r="I129">
            <v>3400</v>
          </cell>
          <cell r="J129" t="str">
            <v>F</v>
          </cell>
          <cell r="K129" t="str">
            <v>MEC</v>
          </cell>
          <cell r="L129" t="str">
            <v>ANTM</v>
          </cell>
        </row>
        <row r="130">
          <cell r="A130">
            <v>963</v>
          </cell>
          <cell r="B130" t="str">
            <v>ULLOA CLAVIJO JUAN MANUEL</v>
          </cell>
          <cell r="C130">
            <v>1966</v>
          </cell>
          <cell r="D130">
            <v>1995</v>
          </cell>
          <cell r="E130">
            <v>6500</v>
          </cell>
          <cell r="F130">
            <v>2275</v>
          </cell>
          <cell r="I130">
            <v>8775</v>
          </cell>
          <cell r="J130" t="str">
            <v>D</v>
          </cell>
          <cell r="K130" t="str">
            <v>ICIV</v>
          </cell>
          <cell r="L130" t="str">
            <v>ACHA</v>
          </cell>
        </row>
        <row r="131">
          <cell r="A131">
            <v>966</v>
          </cell>
          <cell r="B131" t="str">
            <v xml:space="preserve">RAMIREZ RIVERA VICTOR  </v>
          </cell>
          <cell r="C131">
            <v>1948</v>
          </cell>
          <cell r="D131">
            <v>1998</v>
          </cell>
          <cell r="E131">
            <v>2127.2800000000002</v>
          </cell>
          <cell r="F131">
            <v>212.72</v>
          </cell>
          <cell r="I131">
            <v>2340</v>
          </cell>
          <cell r="J131" t="str">
            <v>F</v>
          </cell>
          <cell r="K131" t="str">
            <v>TOP</v>
          </cell>
          <cell r="L131" t="str">
            <v>SED7</v>
          </cell>
        </row>
        <row r="132">
          <cell r="A132">
            <v>973</v>
          </cell>
          <cell r="B132" t="str">
            <v>ANICAMA SOTELO JUAN ESTANISLAO</v>
          </cell>
          <cell r="C132">
            <v>1947</v>
          </cell>
          <cell r="D132">
            <v>1995</v>
          </cell>
          <cell r="E132">
            <v>3126.59</v>
          </cell>
          <cell r="F132">
            <v>1018.61</v>
          </cell>
          <cell r="I132">
            <v>4145.2</v>
          </cell>
          <cell r="J132" t="str">
            <v>E</v>
          </cell>
          <cell r="K132" t="str">
            <v>TOP</v>
          </cell>
          <cell r="L132" t="str">
            <v>TORAT</v>
          </cell>
        </row>
        <row r="133">
          <cell r="A133">
            <v>974</v>
          </cell>
          <cell r="B133" t="str">
            <v>GUILLEN FLORES JORGE EDUARDO</v>
          </cell>
          <cell r="C133">
            <v>1965</v>
          </cell>
          <cell r="D133">
            <v>1997</v>
          </cell>
          <cell r="E133">
            <v>9500</v>
          </cell>
          <cell r="I133">
            <v>9500</v>
          </cell>
          <cell r="J133" t="str">
            <v>D</v>
          </cell>
          <cell r="K133" t="str">
            <v>ICIV</v>
          </cell>
          <cell r="L133" t="str">
            <v>PTOS</v>
          </cell>
        </row>
        <row r="134">
          <cell r="A134">
            <v>976</v>
          </cell>
          <cell r="B134" t="str">
            <v>VALENZUELA ORTIZ JORGE FERNANDO</v>
          </cell>
          <cell r="C134">
            <v>1970</v>
          </cell>
          <cell r="D134">
            <v>1997</v>
          </cell>
          <cell r="E134">
            <v>8000</v>
          </cell>
          <cell r="F134">
            <v>2800</v>
          </cell>
          <cell r="I134">
            <v>10800</v>
          </cell>
          <cell r="J134" t="str">
            <v>C</v>
          </cell>
          <cell r="K134" t="str">
            <v>ICIV</v>
          </cell>
          <cell r="L134" t="str">
            <v>TORAT</v>
          </cell>
        </row>
        <row r="135">
          <cell r="A135">
            <v>977</v>
          </cell>
          <cell r="B135" t="str">
            <v>CARBONELL ROMAN JOSE ANTONIO</v>
          </cell>
          <cell r="C135">
            <v>1966</v>
          </cell>
          <cell r="D135">
            <v>1995</v>
          </cell>
          <cell r="E135">
            <v>3500</v>
          </cell>
          <cell r="F135">
            <v>1050</v>
          </cell>
          <cell r="I135">
            <v>4550</v>
          </cell>
          <cell r="J135" t="str">
            <v>E</v>
          </cell>
          <cell r="K135" t="str">
            <v>CTD</v>
          </cell>
          <cell r="L135" t="str">
            <v>LTMANT</v>
          </cell>
        </row>
        <row r="136">
          <cell r="A136">
            <v>978</v>
          </cell>
          <cell r="B136" t="str">
            <v>OLIVERO GROPPO JUAN ENRIQUE</v>
          </cell>
          <cell r="C136">
            <v>1966</v>
          </cell>
          <cell r="D136">
            <v>1995</v>
          </cell>
          <cell r="E136">
            <v>9900</v>
          </cell>
          <cell r="I136">
            <v>9900</v>
          </cell>
          <cell r="J136" t="str">
            <v>C</v>
          </cell>
          <cell r="K136" t="str">
            <v>IECO</v>
          </cell>
          <cell r="L136" t="str">
            <v>PyC</v>
          </cell>
        </row>
        <row r="137">
          <cell r="A137">
            <v>981</v>
          </cell>
          <cell r="B137" t="str">
            <v>GUTIERREZ ARRESE MERCEDES GLORIA</v>
          </cell>
          <cell r="C137">
            <v>1965</v>
          </cell>
          <cell r="D137">
            <v>1995</v>
          </cell>
          <cell r="E137">
            <v>1370</v>
          </cell>
          <cell r="I137">
            <v>1370</v>
          </cell>
          <cell r="J137" t="str">
            <v>G</v>
          </cell>
          <cell r="K137" t="str">
            <v>LIT</v>
          </cell>
          <cell r="L137" t="str">
            <v>ADMOP</v>
          </cell>
        </row>
        <row r="138">
          <cell r="A138">
            <v>986</v>
          </cell>
          <cell r="B138" t="str">
            <v xml:space="preserve">REYES MORALES GUILLERMO  </v>
          </cell>
          <cell r="C138">
            <v>1934</v>
          </cell>
          <cell r="D138">
            <v>1995</v>
          </cell>
          <cell r="E138">
            <v>5285.8</v>
          </cell>
          <cell r="I138">
            <v>5285.8</v>
          </cell>
          <cell r="J138" t="str">
            <v>H</v>
          </cell>
          <cell r="K138" t="str">
            <v>ICIV</v>
          </cell>
          <cell r="L138" t="str">
            <v>EDIFGM</v>
          </cell>
        </row>
        <row r="139">
          <cell r="A139">
            <v>987</v>
          </cell>
          <cell r="B139" t="str">
            <v>YARLEQUE LARREA JAVIER LUCIO</v>
          </cell>
          <cell r="C139">
            <v>1972</v>
          </cell>
          <cell r="D139">
            <v>1995</v>
          </cell>
          <cell r="E139">
            <v>2471.58</v>
          </cell>
          <cell r="F139">
            <v>708.99</v>
          </cell>
          <cell r="I139">
            <v>3180.57</v>
          </cell>
          <cell r="J139" t="str">
            <v>H</v>
          </cell>
          <cell r="K139" t="str">
            <v>MMAQ</v>
          </cell>
          <cell r="L139" t="str">
            <v>LIQUID</v>
          </cell>
        </row>
        <row r="140">
          <cell r="A140">
            <v>988</v>
          </cell>
          <cell r="B140" t="str">
            <v>CASTRO ROCA ALVARO MARTIN</v>
          </cell>
          <cell r="C140">
            <v>1965</v>
          </cell>
          <cell r="D140">
            <v>1995</v>
          </cell>
          <cell r="E140">
            <v>9960</v>
          </cell>
          <cell r="I140">
            <v>9960</v>
          </cell>
          <cell r="J140" t="str">
            <v>H</v>
          </cell>
          <cell r="K140" t="str">
            <v>ECON</v>
          </cell>
          <cell r="L140" t="str">
            <v>DCHOL</v>
          </cell>
        </row>
        <row r="141">
          <cell r="A141">
            <v>990</v>
          </cell>
          <cell r="B141" t="str">
            <v>RIDOUTT LA ROSA EDUARDO ENRIQUE</v>
          </cell>
          <cell r="C141">
            <v>1924</v>
          </cell>
          <cell r="D141">
            <v>1995</v>
          </cell>
          <cell r="E141">
            <v>1000</v>
          </cell>
          <cell r="I141">
            <v>1000</v>
          </cell>
          <cell r="J141" t="str">
            <v>s/c</v>
          </cell>
          <cell r="K141" t="str">
            <v>ICIV</v>
          </cell>
          <cell r="L141" t="str">
            <v>DIVOC</v>
          </cell>
        </row>
        <row r="142">
          <cell r="A142">
            <v>991</v>
          </cell>
          <cell r="B142" t="str">
            <v>BARRIOS GUTIERREZ REYNALDO EBBERT</v>
          </cell>
          <cell r="C142">
            <v>1971</v>
          </cell>
          <cell r="D142">
            <v>1995</v>
          </cell>
          <cell r="E142">
            <v>800</v>
          </cell>
          <cell r="I142">
            <v>800</v>
          </cell>
          <cell r="J142" t="str">
            <v>G</v>
          </cell>
          <cell r="K142">
            <v>0</v>
          </cell>
          <cell r="L142" t="str">
            <v>LIQUID</v>
          </cell>
        </row>
        <row r="143">
          <cell r="A143">
            <v>995</v>
          </cell>
          <cell r="B143" t="str">
            <v xml:space="preserve">ALAMO PALACIOS VICENTE  </v>
          </cell>
          <cell r="C143">
            <v>1967</v>
          </cell>
          <cell r="D143">
            <v>1995</v>
          </cell>
          <cell r="E143">
            <v>3250</v>
          </cell>
          <cell r="F143">
            <v>812.5</v>
          </cell>
          <cell r="I143">
            <v>4062.5</v>
          </cell>
          <cell r="J143" t="str">
            <v>E</v>
          </cell>
          <cell r="K143" t="str">
            <v>CTD</v>
          </cell>
          <cell r="L143" t="str">
            <v>ANTM</v>
          </cell>
        </row>
        <row r="144">
          <cell r="A144">
            <v>996</v>
          </cell>
          <cell r="B144" t="str">
            <v>DURAN FERNANDEZ CESAR AUGUSTO</v>
          </cell>
          <cell r="C144">
            <v>1954</v>
          </cell>
          <cell r="D144">
            <v>1995</v>
          </cell>
          <cell r="E144">
            <v>1945</v>
          </cell>
          <cell r="F144">
            <v>389</v>
          </cell>
          <cell r="I144">
            <v>2334</v>
          </cell>
          <cell r="J144" t="str">
            <v>F</v>
          </cell>
          <cell r="K144">
            <v>0</v>
          </cell>
          <cell r="L144" t="str">
            <v>CEQMT</v>
          </cell>
        </row>
        <row r="145">
          <cell r="A145">
            <v>998</v>
          </cell>
          <cell r="B145" t="str">
            <v>SALDAÑA LEON VICTOR AUGUSTO</v>
          </cell>
          <cell r="C145">
            <v>1970</v>
          </cell>
          <cell r="D145">
            <v>1996</v>
          </cell>
          <cell r="E145">
            <v>2500</v>
          </cell>
          <cell r="F145">
            <v>750</v>
          </cell>
          <cell r="I145">
            <v>3250</v>
          </cell>
          <cell r="J145" t="str">
            <v>F</v>
          </cell>
          <cell r="K145" t="str">
            <v>CTD</v>
          </cell>
          <cell r="L145" t="str">
            <v>CHIN</v>
          </cell>
        </row>
        <row r="146">
          <cell r="A146">
            <v>1000</v>
          </cell>
          <cell r="B146" t="str">
            <v xml:space="preserve">PANDURO VASQUEZ PEDRO  </v>
          </cell>
          <cell r="C146">
            <v>1968</v>
          </cell>
          <cell r="D146">
            <v>1996</v>
          </cell>
          <cell r="E146">
            <v>1300</v>
          </cell>
          <cell r="I146">
            <v>1300</v>
          </cell>
          <cell r="J146" t="str">
            <v>F</v>
          </cell>
          <cell r="K146" t="str">
            <v>TCONT</v>
          </cell>
          <cell r="L146" t="str">
            <v>SED7</v>
          </cell>
        </row>
        <row r="147">
          <cell r="A147">
            <v>1002</v>
          </cell>
          <cell r="B147" t="str">
            <v xml:space="preserve">DELGADO VILLAR ERIKA  </v>
          </cell>
          <cell r="C147">
            <v>1975</v>
          </cell>
          <cell r="D147">
            <v>1996</v>
          </cell>
          <cell r="E147">
            <v>1000</v>
          </cell>
          <cell r="I147">
            <v>1000</v>
          </cell>
          <cell r="J147" t="str">
            <v>G</v>
          </cell>
          <cell r="K147" t="str">
            <v>SEC</v>
          </cell>
          <cell r="L147" t="str">
            <v>SEDMT</v>
          </cell>
        </row>
        <row r="148">
          <cell r="A148">
            <v>1006</v>
          </cell>
          <cell r="B148" t="str">
            <v>PASTOR AGUILAR VICENTE MIGUEL</v>
          </cell>
          <cell r="C148">
            <v>1936</v>
          </cell>
          <cell r="D148">
            <v>1996</v>
          </cell>
          <cell r="E148">
            <v>1850</v>
          </cell>
          <cell r="F148">
            <v>185</v>
          </cell>
          <cell r="I148">
            <v>2035</v>
          </cell>
          <cell r="J148" t="str">
            <v>G</v>
          </cell>
          <cell r="K148" t="str">
            <v>TADM</v>
          </cell>
          <cell r="L148" t="str">
            <v>SEDMT</v>
          </cell>
        </row>
        <row r="149">
          <cell r="A149">
            <v>1013</v>
          </cell>
          <cell r="B149" t="str">
            <v>KONG ROSALES LEONCIO MARCOS</v>
          </cell>
          <cell r="C149">
            <v>1951</v>
          </cell>
          <cell r="D149">
            <v>1996</v>
          </cell>
          <cell r="E149">
            <v>6000</v>
          </cell>
          <cell r="F149">
            <v>2100</v>
          </cell>
          <cell r="I149">
            <v>8100</v>
          </cell>
          <cell r="J149" t="str">
            <v>D</v>
          </cell>
          <cell r="K149" t="str">
            <v>ICIV</v>
          </cell>
          <cell r="L149" t="str">
            <v>ACHA</v>
          </cell>
        </row>
        <row r="150">
          <cell r="A150">
            <v>1014</v>
          </cell>
          <cell r="B150" t="str">
            <v>FRANCISCO JANAMPA NANCY LUZ</v>
          </cell>
          <cell r="C150">
            <v>1969</v>
          </cell>
          <cell r="D150">
            <v>1996</v>
          </cell>
          <cell r="E150">
            <v>1600</v>
          </cell>
          <cell r="I150">
            <v>1600</v>
          </cell>
          <cell r="J150" t="str">
            <v>G</v>
          </cell>
          <cell r="K150" t="str">
            <v>ISIS</v>
          </cell>
          <cell r="L150" t="str">
            <v>LIQUID</v>
          </cell>
        </row>
        <row r="151">
          <cell r="A151">
            <v>1016</v>
          </cell>
          <cell r="B151" t="str">
            <v>REYES PRADO LUIS PEDRO</v>
          </cell>
          <cell r="C151">
            <v>1962</v>
          </cell>
          <cell r="D151">
            <v>1996</v>
          </cell>
          <cell r="E151">
            <v>3450</v>
          </cell>
          <cell r="F151">
            <v>345</v>
          </cell>
          <cell r="I151">
            <v>3795</v>
          </cell>
          <cell r="J151" t="str">
            <v>E</v>
          </cell>
          <cell r="K151" t="str">
            <v>ISAN</v>
          </cell>
          <cell r="L151" t="str">
            <v>SEDMT</v>
          </cell>
        </row>
        <row r="152">
          <cell r="A152">
            <v>1017</v>
          </cell>
          <cell r="B152" t="str">
            <v>MIYASHIRO MALPARTIDA CESAR ENRIQUE</v>
          </cell>
          <cell r="C152">
            <v>1963</v>
          </cell>
          <cell r="D152">
            <v>1996</v>
          </cell>
          <cell r="E152">
            <v>3550</v>
          </cell>
          <cell r="F152">
            <v>355</v>
          </cell>
          <cell r="I152">
            <v>3905</v>
          </cell>
          <cell r="J152" t="str">
            <v>E</v>
          </cell>
          <cell r="K152" t="str">
            <v>ICIV</v>
          </cell>
          <cell r="L152" t="str">
            <v>SEDMT</v>
          </cell>
        </row>
        <row r="153">
          <cell r="A153">
            <v>1018</v>
          </cell>
          <cell r="B153" t="str">
            <v>CARRANZA DAVILA RAMIRO CELSO</v>
          </cell>
          <cell r="C153">
            <v>1944</v>
          </cell>
          <cell r="D153">
            <v>1996</v>
          </cell>
          <cell r="E153">
            <v>6272.72</v>
          </cell>
          <cell r="F153">
            <v>627.28</v>
          </cell>
          <cell r="I153">
            <v>6900</v>
          </cell>
          <cell r="J153" t="str">
            <v>D</v>
          </cell>
          <cell r="K153" t="str">
            <v>ICIV</v>
          </cell>
          <cell r="L153" t="str">
            <v>SEDMT</v>
          </cell>
        </row>
        <row r="154">
          <cell r="A154">
            <v>1019</v>
          </cell>
          <cell r="B154" t="str">
            <v>NAVARRO NARDINI JOSE ALFREDO</v>
          </cell>
          <cell r="C154">
            <v>1967</v>
          </cell>
          <cell r="D154">
            <v>1996</v>
          </cell>
          <cell r="E154">
            <v>3744.44</v>
          </cell>
          <cell r="F154">
            <v>749</v>
          </cell>
          <cell r="I154">
            <v>4493.4399999999996</v>
          </cell>
          <cell r="J154" t="str">
            <v>F</v>
          </cell>
          <cell r="K154" t="str">
            <v>ICIV</v>
          </cell>
          <cell r="L154" t="str">
            <v>LIQUID</v>
          </cell>
        </row>
        <row r="155">
          <cell r="A155">
            <v>1022</v>
          </cell>
          <cell r="B155" t="str">
            <v>LOPEZ DIAZ MALINOVISKY WARNER</v>
          </cell>
          <cell r="C155">
            <v>1960</v>
          </cell>
          <cell r="D155">
            <v>1996</v>
          </cell>
          <cell r="E155">
            <v>3600</v>
          </cell>
          <cell r="F155">
            <v>360</v>
          </cell>
          <cell r="I155">
            <v>3960</v>
          </cell>
          <cell r="J155" t="str">
            <v>F</v>
          </cell>
          <cell r="K155" t="str">
            <v>ICIV</v>
          </cell>
          <cell r="L155" t="str">
            <v>LIQUID</v>
          </cell>
        </row>
        <row r="156">
          <cell r="A156">
            <v>1026</v>
          </cell>
          <cell r="B156" t="str">
            <v>RAMIREZ AGUAYO MIGUEL ERNESTO</v>
          </cell>
          <cell r="C156">
            <v>1965</v>
          </cell>
          <cell r="D156">
            <v>1996</v>
          </cell>
          <cell r="E156">
            <v>2388.46</v>
          </cell>
          <cell r="F156">
            <v>716.54</v>
          </cell>
          <cell r="I156">
            <v>3105</v>
          </cell>
          <cell r="J156" t="str">
            <v>F</v>
          </cell>
          <cell r="K156" t="str">
            <v>IIND</v>
          </cell>
          <cell r="L156" t="str">
            <v>BROC</v>
          </cell>
        </row>
        <row r="157">
          <cell r="A157">
            <v>1027</v>
          </cell>
          <cell r="B157" t="str">
            <v>BAZAN BARRERA JUAN FRANCISCO</v>
          </cell>
          <cell r="C157">
            <v>1966</v>
          </cell>
          <cell r="D157">
            <v>1996</v>
          </cell>
          <cell r="E157">
            <v>1800</v>
          </cell>
          <cell r="I157">
            <v>1800</v>
          </cell>
          <cell r="J157" t="str">
            <v>F</v>
          </cell>
          <cell r="K157" t="str">
            <v>ICIV</v>
          </cell>
          <cell r="L157" t="str">
            <v>PTOS</v>
          </cell>
        </row>
        <row r="158">
          <cell r="A158">
            <v>1028</v>
          </cell>
          <cell r="B158" t="str">
            <v>GUTIERREZ ZUZUNAGA AUGUSTO WILFRED</v>
          </cell>
          <cell r="C158">
            <v>1968</v>
          </cell>
          <cell r="D158">
            <v>1996</v>
          </cell>
          <cell r="E158">
            <v>4545.45</v>
          </cell>
          <cell r="F158">
            <v>454.55</v>
          </cell>
          <cell r="I158">
            <v>5000</v>
          </cell>
          <cell r="J158" t="str">
            <v>E</v>
          </cell>
          <cell r="K158" t="str">
            <v>ICIV</v>
          </cell>
          <cell r="L158" t="str">
            <v>MARR</v>
          </cell>
        </row>
        <row r="159">
          <cell r="A159">
            <v>1029</v>
          </cell>
          <cell r="B159" t="str">
            <v>CANAL AGUIRRE ALBERTO SALVADO</v>
          </cell>
          <cell r="C159">
            <v>1968</v>
          </cell>
          <cell r="D159">
            <v>1996</v>
          </cell>
          <cell r="E159">
            <v>9000</v>
          </cell>
          <cell r="I159">
            <v>9000</v>
          </cell>
          <cell r="J159" t="str">
            <v>D</v>
          </cell>
          <cell r="K159" t="str">
            <v>ICIV</v>
          </cell>
          <cell r="L159" t="str">
            <v>PTOS</v>
          </cell>
        </row>
        <row r="160">
          <cell r="A160">
            <v>1030</v>
          </cell>
          <cell r="B160" t="str">
            <v xml:space="preserve">TAMANAJA ROSAS PATRICIA </v>
          </cell>
          <cell r="C160">
            <v>1971</v>
          </cell>
          <cell r="D160">
            <v>1996</v>
          </cell>
          <cell r="E160">
            <v>3700</v>
          </cell>
          <cell r="I160">
            <v>3700</v>
          </cell>
          <cell r="J160" t="str">
            <v>D</v>
          </cell>
          <cell r="K160" t="str">
            <v>PSI</v>
          </cell>
          <cell r="L160" t="str">
            <v>RRHH</v>
          </cell>
        </row>
        <row r="161">
          <cell r="A161">
            <v>1031</v>
          </cell>
          <cell r="B161" t="str">
            <v>TARGARONA ARATA JAIME LUIS</v>
          </cell>
          <cell r="C161">
            <v>1968</v>
          </cell>
          <cell r="D161">
            <v>1996</v>
          </cell>
          <cell r="E161">
            <v>8300</v>
          </cell>
          <cell r="I161">
            <v>8300</v>
          </cell>
          <cell r="J161" t="str">
            <v>D</v>
          </cell>
          <cell r="K161" t="str">
            <v>ICIV</v>
          </cell>
          <cell r="L161" t="str">
            <v>COM</v>
          </cell>
        </row>
        <row r="162">
          <cell r="A162">
            <v>1032</v>
          </cell>
          <cell r="B162" t="str">
            <v>CHAPONAN PINEA LUBER DANTE</v>
          </cell>
          <cell r="C162">
            <v>1951</v>
          </cell>
          <cell r="D162">
            <v>1996</v>
          </cell>
          <cell r="E162">
            <v>2267.8200000000002</v>
          </cell>
          <cell r="F162">
            <v>453.56</v>
          </cell>
          <cell r="I162">
            <v>2721.38</v>
          </cell>
          <cell r="J162" t="str">
            <v>G</v>
          </cell>
          <cell r="K162" t="str">
            <v>TCONT</v>
          </cell>
          <cell r="L162" t="str">
            <v>TORAT</v>
          </cell>
        </row>
        <row r="163">
          <cell r="A163">
            <v>1034</v>
          </cell>
          <cell r="B163" t="str">
            <v>BUGARIN INCIO JOE ESCALANTE</v>
          </cell>
          <cell r="C163">
            <v>1974</v>
          </cell>
          <cell r="D163">
            <v>1996</v>
          </cell>
          <cell r="E163">
            <v>2310</v>
          </cell>
          <cell r="I163">
            <v>2310</v>
          </cell>
          <cell r="J163" t="str">
            <v>F</v>
          </cell>
          <cell r="K163" t="str">
            <v>PRG</v>
          </cell>
          <cell r="L163" t="str">
            <v>INFOR</v>
          </cell>
        </row>
        <row r="164">
          <cell r="A164">
            <v>1037</v>
          </cell>
          <cell r="B164" t="str">
            <v>PORTOCARRERO LOPEZ CARLOS JAVIER</v>
          </cell>
          <cell r="C164">
            <v>1968</v>
          </cell>
          <cell r="D164">
            <v>1996</v>
          </cell>
          <cell r="E164">
            <v>2000</v>
          </cell>
          <cell r="I164">
            <v>2000</v>
          </cell>
          <cell r="J164" t="str">
            <v>G</v>
          </cell>
          <cell r="K164" t="str">
            <v>PRG</v>
          </cell>
          <cell r="L164" t="str">
            <v>INFOR</v>
          </cell>
        </row>
        <row r="165">
          <cell r="A165">
            <v>1038</v>
          </cell>
          <cell r="B165" t="str">
            <v>ZEVALLOS BARCELLI DANIEL JASSON</v>
          </cell>
          <cell r="C165">
            <v>1972</v>
          </cell>
          <cell r="D165">
            <v>1996</v>
          </cell>
          <cell r="E165">
            <v>5000</v>
          </cell>
          <cell r="F165">
            <v>1750</v>
          </cell>
          <cell r="I165">
            <v>6750</v>
          </cell>
          <cell r="J165" t="str">
            <v>E</v>
          </cell>
          <cell r="K165" t="str">
            <v>ICIV</v>
          </cell>
          <cell r="L165" t="str">
            <v>TORAT</v>
          </cell>
        </row>
        <row r="166">
          <cell r="A166">
            <v>1045</v>
          </cell>
          <cell r="B166" t="str">
            <v>LLOSA DE CARDENAS FERNANDO AUGUST</v>
          </cell>
          <cell r="C166">
            <v>1961</v>
          </cell>
          <cell r="D166">
            <v>1996</v>
          </cell>
          <cell r="E166">
            <v>6600</v>
          </cell>
          <cell r="I166">
            <v>6600</v>
          </cell>
          <cell r="J166" t="str">
            <v>E</v>
          </cell>
          <cell r="K166" t="str">
            <v>ICIV</v>
          </cell>
          <cell r="L166" t="str">
            <v>LIQUID</v>
          </cell>
        </row>
        <row r="167">
          <cell r="A167">
            <v>1047</v>
          </cell>
          <cell r="B167" t="str">
            <v>LEON ECHEGARAY MAXIMO ALCIDES</v>
          </cell>
          <cell r="C167">
            <v>1968</v>
          </cell>
          <cell r="D167">
            <v>1996</v>
          </cell>
          <cell r="E167">
            <v>2700</v>
          </cell>
          <cell r="F167">
            <v>2025</v>
          </cell>
          <cell r="I167">
            <v>4725</v>
          </cell>
          <cell r="J167" t="str">
            <v>E</v>
          </cell>
          <cell r="K167" t="str">
            <v>PRG</v>
          </cell>
          <cell r="L167" t="str">
            <v>ANTM</v>
          </cell>
        </row>
        <row r="168">
          <cell r="A168">
            <v>1048</v>
          </cell>
          <cell r="B168" t="str">
            <v xml:space="preserve">VILLACORTA FEBRES HUMBERTO  </v>
          </cell>
          <cell r="C168">
            <v>1971</v>
          </cell>
          <cell r="D168">
            <v>1996</v>
          </cell>
          <cell r="E168">
            <v>2990</v>
          </cell>
          <cell r="F168">
            <v>449</v>
          </cell>
          <cell r="I168">
            <v>3439</v>
          </cell>
          <cell r="J168" t="str">
            <v>E</v>
          </cell>
          <cell r="K168" t="str">
            <v>CTD</v>
          </cell>
          <cell r="L168" t="str">
            <v>MARR</v>
          </cell>
        </row>
        <row r="169">
          <cell r="A169">
            <v>1049</v>
          </cell>
          <cell r="B169" t="str">
            <v>AVALOS ALEJOS LUIS ALBERTO</v>
          </cell>
          <cell r="C169">
            <v>1966</v>
          </cell>
          <cell r="D169">
            <v>1996</v>
          </cell>
          <cell r="E169">
            <v>3162</v>
          </cell>
          <cell r="I169">
            <v>3162</v>
          </cell>
          <cell r="J169" t="str">
            <v>E</v>
          </cell>
          <cell r="K169" t="str">
            <v>CTD</v>
          </cell>
          <cell r="L169" t="str">
            <v>FIN</v>
          </cell>
        </row>
        <row r="170">
          <cell r="A170">
            <v>1051</v>
          </cell>
          <cell r="B170" t="str">
            <v>CUADROS AGUIRRE MARIA ISABEL</v>
          </cell>
          <cell r="C170">
            <v>1967</v>
          </cell>
          <cell r="D170">
            <v>1996</v>
          </cell>
          <cell r="E170">
            <v>2000</v>
          </cell>
          <cell r="F170">
            <v>400</v>
          </cell>
          <cell r="I170">
            <v>2400</v>
          </cell>
          <cell r="J170" t="str">
            <v>F</v>
          </cell>
          <cell r="K170" t="str">
            <v>CTD</v>
          </cell>
          <cell r="L170" t="str">
            <v>MESS</v>
          </cell>
        </row>
        <row r="171">
          <cell r="A171">
            <v>1056</v>
          </cell>
          <cell r="B171" t="str">
            <v>ESPINOSA DE RIVERO JAVIER ERNESTO</v>
          </cell>
          <cell r="C171">
            <v>1966</v>
          </cell>
          <cell r="D171">
            <v>1996</v>
          </cell>
          <cell r="E171">
            <v>9307.69</v>
          </cell>
          <cell r="F171">
            <v>2792.31</v>
          </cell>
          <cell r="I171">
            <v>12100</v>
          </cell>
          <cell r="J171" t="str">
            <v>D</v>
          </cell>
          <cell r="K171" t="str">
            <v>ICIV</v>
          </cell>
          <cell r="L171" t="str">
            <v>MEX</v>
          </cell>
        </row>
        <row r="172">
          <cell r="A172">
            <v>1057</v>
          </cell>
          <cell r="B172" t="str">
            <v>DURAN QUEROL RODOLFO MARTIN</v>
          </cell>
          <cell r="C172">
            <v>1965</v>
          </cell>
          <cell r="D172">
            <v>1996</v>
          </cell>
          <cell r="E172">
            <v>7272.73</v>
          </cell>
          <cell r="F172">
            <v>727.27</v>
          </cell>
          <cell r="I172">
            <v>8000</v>
          </cell>
          <cell r="J172" t="str">
            <v>E</v>
          </cell>
          <cell r="K172" t="str">
            <v>ICIV</v>
          </cell>
          <cell r="L172" t="str">
            <v>LIQUID</v>
          </cell>
        </row>
        <row r="173">
          <cell r="A173">
            <v>1059</v>
          </cell>
          <cell r="B173" t="str">
            <v>CORONADO ALVARADO ILIA KARIM</v>
          </cell>
          <cell r="C173">
            <v>1967</v>
          </cell>
          <cell r="D173">
            <v>1996</v>
          </cell>
          <cell r="E173">
            <v>3530</v>
          </cell>
          <cell r="I173">
            <v>3530</v>
          </cell>
          <cell r="J173" t="str">
            <v>E</v>
          </cell>
          <cell r="K173" t="str">
            <v>TRAD</v>
          </cell>
          <cell r="L173" t="str">
            <v>PTOS</v>
          </cell>
        </row>
        <row r="174">
          <cell r="A174">
            <v>1062</v>
          </cell>
          <cell r="B174" t="str">
            <v>CCAMACCA BUSTINZA LUIS GONZAGA</v>
          </cell>
          <cell r="C174">
            <v>1951</v>
          </cell>
          <cell r="D174">
            <v>1996</v>
          </cell>
          <cell r="E174">
            <v>1150</v>
          </cell>
          <cell r="I174">
            <v>1150</v>
          </cell>
          <cell r="J174" t="str">
            <v>H</v>
          </cell>
          <cell r="K174">
            <v>0</v>
          </cell>
          <cell r="L174" t="str">
            <v>CEQMT</v>
          </cell>
        </row>
        <row r="175">
          <cell r="A175">
            <v>1063</v>
          </cell>
          <cell r="B175" t="str">
            <v>CONISLLA PILLACA LUIS ALBERTO</v>
          </cell>
          <cell r="C175">
            <v>1966</v>
          </cell>
          <cell r="D175">
            <v>1996</v>
          </cell>
          <cell r="E175">
            <v>1150</v>
          </cell>
          <cell r="I175">
            <v>1150</v>
          </cell>
          <cell r="J175" t="str">
            <v>H</v>
          </cell>
          <cell r="K175" t="str">
            <v>TELC</v>
          </cell>
          <cell r="L175" t="str">
            <v>EDIFGM</v>
          </cell>
        </row>
        <row r="176">
          <cell r="A176">
            <v>1064</v>
          </cell>
          <cell r="B176" t="str">
            <v>LOZANO ESPINOZA FLOR CECILIA</v>
          </cell>
          <cell r="C176">
            <v>1963</v>
          </cell>
          <cell r="D176">
            <v>1996</v>
          </cell>
          <cell r="E176">
            <v>2354</v>
          </cell>
          <cell r="I176">
            <v>2354</v>
          </cell>
          <cell r="J176" t="str">
            <v>H</v>
          </cell>
          <cell r="K176" t="str">
            <v>TRAD</v>
          </cell>
          <cell r="L176" t="str">
            <v>DCHOL</v>
          </cell>
        </row>
        <row r="177">
          <cell r="A177">
            <v>1065</v>
          </cell>
          <cell r="B177" t="str">
            <v>PASTOR PANDURO JOSE AUGUSTO</v>
          </cell>
          <cell r="C177">
            <v>1960</v>
          </cell>
          <cell r="D177">
            <v>1996</v>
          </cell>
          <cell r="E177">
            <v>1290</v>
          </cell>
          <cell r="I177">
            <v>1290</v>
          </cell>
          <cell r="J177" t="str">
            <v>H</v>
          </cell>
          <cell r="K177" t="str">
            <v>MEC</v>
          </cell>
          <cell r="L177" t="str">
            <v>CEQMT</v>
          </cell>
        </row>
        <row r="178">
          <cell r="A178">
            <v>1075</v>
          </cell>
          <cell r="B178" t="str">
            <v>RODRIGUEZ VASQUEZ JORGE ENRIQUE</v>
          </cell>
          <cell r="C178">
            <v>1967</v>
          </cell>
          <cell r="D178">
            <v>1996</v>
          </cell>
          <cell r="E178">
            <v>5000</v>
          </cell>
          <cell r="F178">
            <v>1750</v>
          </cell>
          <cell r="I178">
            <v>6750</v>
          </cell>
          <cell r="J178" t="str">
            <v>D</v>
          </cell>
          <cell r="K178" t="str">
            <v>ICIV</v>
          </cell>
          <cell r="L178" t="str">
            <v>LIQUID</v>
          </cell>
        </row>
        <row r="179">
          <cell r="A179">
            <v>1076</v>
          </cell>
          <cell r="B179" t="str">
            <v>MEZA VIZURRAGA FERNANDO ANGEL</v>
          </cell>
          <cell r="C179">
            <v>1961</v>
          </cell>
          <cell r="D179">
            <v>1996</v>
          </cell>
          <cell r="E179">
            <v>4712</v>
          </cell>
          <cell r="I179">
            <v>4712</v>
          </cell>
          <cell r="J179" t="str">
            <v>E</v>
          </cell>
          <cell r="K179" t="str">
            <v>TOP</v>
          </cell>
          <cell r="L179" t="str">
            <v>LIQUID</v>
          </cell>
        </row>
        <row r="180">
          <cell r="A180">
            <v>1086</v>
          </cell>
          <cell r="B180" t="str">
            <v>CABRERA CASAHUAMAN CIRO JAVIER</v>
          </cell>
          <cell r="C180">
            <v>1946</v>
          </cell>
          <cell r="D180">
            <v>1997</v>
          </cell>
          <cell r="E180">
            <v>7424</v>
          </cell>
          <cell r="F180">
            <v>1856</v>
          </cell>
          <cell r="I180">
            <v>9280</v>
          </cell>
          <cell r="J180" t="str">
            <v>D</v>
          </cell>
          <cell r="K180" t="str">
            <v>ICIV</v>
          </cell>
          <cell r="L180" t="str">
            <v>LIQUID</v>
          </cell>
        </row>
        <row r="181">
          <cell r="A181">
            <v>1087</v>
          </cell>
          <cell r="B181" t="str">
            <v>CHAPARRO LYNCH DAVID MARTIN</v>
          </cell>
          <cell r="C181">
            <v>1971</v>
          </cell>
          <cell r="D181">
            <v>1997</v>
          </cell>
          <cell r="E181">
            <v>3500</v>
          </cell>
          <cell r="F181">
            <v>350</v>
          </cell>
          <cell r="I181">
            <v>3850</v>
          </cell>
          <cell r="J181" t="str">
            <v>E</v>
          </cell>
          <cell r="K181" t="str">
            <v>ICIV</v>
          </cell>
          <cell r="L181" t="str">
            <v>LIQUID</v>
          </cell>
        </row>
        <row r="182">
          <cell r="A182">
            <v>1090</v>
          </cell>
          <cell r="B182" t="str">
            <v>ACOSTA REYNA CARLOS DEMETRIO</v>
          </cell>
          <cell r="C182">
            <v>1971</v>
          </cell>
          <cell r="D182">
            <v>1997</v>
          </cell>
          <cell r="E182">
            <v>2702.48</v>
          </cell>
          <cell r="F182">
            <v>2027</v>
          </cell>
          <cell r="I182">
            <v>4729.4799999999996</v>
          </cell>
          <cell r="J182" t="str">
            <v>E</v>
          </cell>
          <cell r="K182" t="str">
            <v>IIND</v>
          </cell>
          <cell r="L182" t="str">
            <v>ANTM</v>
          </cell>
        </row>
        <row r="183">
          <cell r="A183">
            <v>1093</v>
          </cell>
          <cell r="B183" t="str">
            <v>VOLTAIRE VELAOCHAGA MARITZA SELENA</v>
          </cell>
          <cell r="C183">
            <v>1969</v>
          </cell>
          <cell r="D183">
            <v>1997</v>
          </cell>
          <cell r="E183">
            <v>3410</v>
          </cell>
          <cell r="I183">
            <v>3410</v>
          </cell>
          <cell r="J183" t="str">
            <v>F</v>
          </cell>
          <cell r="K183" t="str">
            <v>ICIV</v>
          </cell>
          <cell r="L183" t="str">
            <v>LIQUID</v>
          </cell>
        </row>
        <row r="184">
          <cell r="A184">
            <v>1094</v>
          </cell>
          <cell r="B184" t="str">
            <v xml:space="preserve">SANCHEZ-FERRER SILVA JORGE  </v>
          </cell>
          <cell r="C184">
            <v>1971</v>
          </cell>
          <cell r="D184">
            <v>1997</v>
          </cell>
          <cell r="E184">
            <v>4000</v>
          </cell>
          <cell r="I184">
            <v>4000</v>
          </cell>
          <cell r="J184" t="str">
            <v>E</v>
          </cell>
          <cell r="K184" t="str">
            <v>ICIV</v>
          </cell>
          <cell r="L184" t="str">
            <v>PROD</v>
          </cell>
        </row>
        <row r="185">
          <cell r="A185">
            <v>1096</v>
          </cell>
          <cell r="B185" t="str">
            <v>COLICHÓN SAS ANDRES DANIEL</v>
          </cell>
          <cell r="C185">
            <v>1968</v>
          </cell>
          <cell r="D185">
            <v>1997</v>
          </cell>
          <cell r="E185">
            <v>14175</v>
          </cell>
          <cell r="I185">
            <v>14175</v>
          </cell>
          <cell r="J185" t="str">
            <v>H</v>
          </cell>
          <cell r="K185" t="str">
            <v>ADM</v>
          </cell>
          <cell r="L185" t="str">
            <v>DCHOL</v>
          </cell>
        </row>
        <row r="186">
          <cell r="A186">
            <v>1097</v>
          </cell>
          <cell r="B186" t="str">
            <v>RAMOS DELGADO PABLO ERNESTO</v>
          </cell>
          <cell r="C186">
            <v>1969</v>
          </cell>
          <cell r="D186">
            <v>1997</v>
          </cell>
          <cell r="E186">
            <v>4400</v>
          </cell>
          <cell r="F186">
            <v>1760</v>
          </cell>
          <cell r="I186">
            <v>6160</v>
          </cell>
          <cell r="J186" t="str">
            <v>E</v>
          </cell>
          <cell r="K186" t="str">
            <v>ICIV</v>
          </cell>
          <cell r="L186" t="str">
            <v>CHIN</v>
          </cell>
        </row>
        <row r="187">
          <cell r="A187">
            <v>1098</v>
          </cell>
          <cell r="B187" t="str">
            <v xml:space="preserve">LATORRE DELGADO WALDIR  </v>
          </cell>
          <cell r="C187">
            <v>1966</v>
          </cell>
          <cell r="D187">
            <v>1997</v>
          </cell>
          <cell r="E187">
            <v>3461.55</v>
          </cell>
          <cell r="F187">
            <v>1211.55</v>
          </cell>
          <cell r="I187">
            <v>4673.1000000000004</v>
          </cell>
          <cell r="J187" t="str">
            <v>E</v>
          </cell>
          <cell r="K187" t="str">
            <v>PRG</v>
          </cell>
          <cell r="L187" t="str">
            <v>LIQUID</v>
          </cell>
        </row>
        <row r="188">
          <cell r="A188">
            <v>1099</v>
          </cell>
          <cell r="B188" t="str">
            <v>ZAVALA HERNANDEZ MARITZA BEATRIZ</v>
          </cell>
          <cell r="C188">
            <v>1968</v>
          </cell>
          <cell r="D188">
            <v>1997</v>
          </cell>
          <cell r="E188">
            <v>8500</v>
          </cell>
          <cell r="I188">
            <v>8500</v>
          </cell>
          <cell r="J188" t="str">
            <v>D</v>
          </cell>
          <cell r="K188" t="str">
            <v>IIND</v>
          </cell>
          <cell r="L188" t="str">
            <v>INFOR</v>
          </cell>
        </row>
        <row r="189">
          <cell r="A189">
            <v>1100</v>
          </cell>
          <cell r="B189" t="str">
            <v xml:space="preserve">GALLO SEMINARIO HERNAN  </v>
          </cell>
          <cell r="C189">
            <v>1965</v>
          </cell>
          <cell r="D189">
            <v>1997</v>
          </cell>
          <cell r="E189">
            <v>5909.09</v>
          </cell>
          <cell r="F189">
            <v>590.91</v>
          </cell>
          <cell r="I189">
            <v>6500</v>
          </cell>
          <cell r="J189" t="str">
            <v>E</v>
          </cell>
          <cell r="K189" t="str">
            <v>IELEC</v>
          </cell>
          <cell r="L189" t="str">
            <v>MARR</v>
          </cell>
        </row>
        <row r="190">
          <cell r="A190">
            <v>1102</v>
          </cell>
          <cell r="B190" t="str">
            <v>VIGO CASANOVA LORENA PILAR</v>
          </cell>
          <cell r="C190">
            <v>1972</v>
          </cell>
          <cell r="D190">
            <v>1997</v>
          </cell>
          <cell r="E190">
            <v>2400</v>
          </cell>
          <cell r="I190">
            <v>2400</v>
          </cell>
          <cell r="J190" t="str">
            <v>F</v>
          </cell>
          <cell r="K190" t="str">
            <v>ARQ</v>
          </cell>
          <cell r="L190" t="str">
            <v>LIQUID</v>
          </cell>
        </row>
        <row r="191">
          <cell r="A191">
            <v>1104</v>
          </cell>
          <cell r="B191" t="str">
            <v>VASQUEZ ARTEAGA GERARDO ALFONSO</v>
          </cell>
          <cell r="C191">
            <v>1969</v>
          </cell>
          <cell r="D191">
            <v>1997</v>
          </cell>
          <cell r="E191">
            <v>2600</v>
          </cell>
          <cell r="F191">
            <v>780</v>
          </cell>
          <cell r="I191">
            <v>3380</v>
          </cell>
          <cell r="J191" t="str">
            <v>E</v>
          </cell>
          <cell r="K191" t="str">
            <v>IIND</v>
          </cell>
          <cell r="L191" t="str">
            <v>PUQUI</v>
          </cell>
        </row>
        <row r="192">
          <cell r="A192">
            <v>1108</v>
          </cell>
          <cell r="B192" t="str">
            <v>GALLARDO MARQUINA ELVIS ROGER</v>
          </cell>
          <cell r="C192">
            <v>1964</v>
          </cell>
          <cell r="D192">
            <v>1997</v>
          </cell>
          <cell r="E192">
            <v>2400</v>
          </cell>
          <cell r="F192">
            <v>720</v>
          </cell>
          <cell r="I192">
            <v>3120</v>
          </cell>
          <cell r="J192" t="str">
            <v>F</v>
          </cell>
          <cell r="K192" t="str">
            <v>ECON</v>
          </cell>
          <cell r="L192" t="str">
            <v>BROC</v>
          </cell>
        </row>
        <row r="193">
          <cell r="A193">
            <v>1109</v>
          </cell>
          <cell r="B193" t="str">
            <v>PALOMINO REINA LAURA ESTHER</v>
          </cell>
          <cell r="C193">
            <v>1960</v>
          </cell>
          <cell r="D193">
            <v>1997</v>
          </cell>
          <cell r="E193">
            <v>5300</v>
          </cell>
          <cell r="I193">
            <v>5300</v>
          </cell>
          <cell r="J193" t="str">
            <v>D</v>
          </cell>
          <cell r="K193" t="str">
            <v>ICIV</v>
          </cell>
          <cell r="L193" t="str">
            <v>PTOS</v>
          </cell>
        </row>
        <row r="194">
          <cell r="A194">
            <v>1111</v>
          </cell>
          <cell r="B194" t="str">
            <v>GUTIERREZ WONG JUDITH EVELYN</v>
          </cell>
          <cell r="C194">
            <v>1973</v>
          </cell>
          <cell r="D194">
            <v>1997</v>
          </cell>
          <cell r="E194">
            <v>2040</v>
          </cell>
          <cell r="F194">
            <v>204</v>
          </cell>
          <cell r="I194">
            <v>2244</v>
          </cell>
          <cell r="J194" t="str">
            <v>E</v>
          </cell>
          <cell r="K194" t="str">
            <v>CTD</v>
          </cell>
          <cell r="L194" t="str">
            <v>LIQUID</v>
          </cell>
        </row>
        <row r="195">
          <cell r="A195">
            <v>1112</v>
          </cell>
          <cell r="B195" t="str">
            <v>ALVA SALAS JESUS MARTIN</v>
          </cell>
          <cell r="C195">
            <v>1974</v>
          </cell>
          <cell r="D195">
            <v>1998</v>
          </cell>
          <cell r="E195">
            <v>2370.37</v>
          </cell>
          <cell r="F195">
            <v>1185.19</v>
          </cell>
          <cell r="I195">
            <v>3555.56</v>
          </cell>
          <cell r="J195" t="str">
            <v>F</v>
          </cell>
          <cell r="K195" t="str">
            <v>ICIV</v>
          </cell>
          <cell r="L195" t="str">
            <v>ANTM</v>
          </cell>
        </row>
        <row r="196">
          <cell r="A196">
            <v>1117</v>
          </cell>
          <cell r="B196" t="str">
            <v>MANCHURIA CCOPA GRACIELA HONORT</v>
          </cell>
          <cell r="C196">
            <v>1963</v>
          </cell>
          <cell r="D196">
            <v>1998</v>
          </cell>
          <cell r="E196">
            <v>3000</v>
          </cell>
          <cell r="I196">
            <v>3000</v>
          </cell>
          <cell r="J196" t="str">
            <v>F</v>
          </cell>
          <cell r="K196" t="str">
            <v>CTD</v>
          </cell>
          <cell r="L196" t="str">
            <v>LTMS</v>
          </cell>
        </row>
        <row r="197">
          <cell r="A197">
            <v>1119</v>
          </cell>
          <cell r="B197" t="str">
            <v>KAMPOY SILVA RAUL FRANCISCO</v>
          </cell>
          <cell r="C197">
            <v>1972</v>
          </cell>
          <cell r="D197">
            <v>1997</v>
          </cell>
          <cell r="E197">
            <v>2440.7600000000002</v>
          </cell>
          <cell r="F197">
            <v>488.15</v>
          </cell>
          <cell r="I197">
            <v>2928.91</v>
          </cell>
          <cell r="J197" t="str">
            <v>F</v>
          </cell>
          <cell r="K197" t="str">
            <v>CTD</v>
          </cell>
          <cell r="L197" t="str">
            <v>PUQUI</v>
          </cell>
        </row>
        <row r="198">
          <cell r="A198">
            <v>1120</v>
          </cell>
          <cell r="B198" t="str">
            <v>PASTOR RODRIGUEZ JUAN CARLOS</v>
          </cell>
          <cell r="C198">
            <v>1972</v>
          </cell>
          <cell r="D198">
            <v>1997</v>
          </cell>
          <cell r="E198">
            <v>3050</v>
          </cell>
          <cell r="I198">
            <v>3050</v>
          </cell>
          <cell r="J198" t="str">
            <v>E</v>
          </cell>
          <cell r="K198" t="str">
            <v>IIND</v>
          </cell>
          <cell r="L198" t="str">
            <v>GGCEQ</v>
          </cell>
        </row>
        <row r="199">
          <cell r="A199">
            <v>1122</v>
          </cell>
          <cell r="B199" t="str">
            <v>CASTRO SILVESTRE FRANCISCO JAVIE</v>
          </cell>
          <cell r="C199">
            <v>1966</v>
          </cell>
          <cell r="D199">
            <v>1994</v>
          </cell>
          <cell r="E199">
            <v>4788</v>
          </cell>
          <cell r="F199">
            <v>1675.8</v>
          </cell>
          <cell r="I199">
            <v>6463.8</v>
          </cell>
          <cell r="J199" t="str">
            <v>D</v>
          </cell>
          <cell r="K199" t="str">
            <v>ICIV</v>
          </cell>
          <cell r="L199" t="str">
            <v>RALCO</v>
          </cell>
        </row>
        <row r="200">
          <cell r="A200">
            <v>1124</v>
          </cell>
          <cell r="B200" t="str">
            <v>GOLD ARAOZ FERNANDO ANTONI</v>
          </cell>
          <cell r="C200">
            <v>1963</v>
          </cell>
          <cell r="D200">
            <v>1997</v>
          </cell>
          <cell r="E200">
            <v>6800</v>
          </cell>
          <cell r="F200">
            <v>1360</v>
          </cell>
          <cell r="I200">
            <v>8160</v>
          </cell>
          <cell r="J200" t="str">
            <v>E</v>
          </cell>
          <cell r="K200" t="str">
            <v>IIND</v>
          </cell>
          <cell r="L200" t="str">
            <v>SED7</v>
          </cell>
        </row>
        <row r="201">
          <cell r="A201">
            <v>1125</v>
          </cell>
          <cell r="B201" t="str">
            <v>ARGOTE DE LOS RIOS CARLOS ALEJANDRO</v>
          </cell>
          <cell r="C201">
            <v>1965</v>
          </cell>
          <cell r="D201">
            <v>2000</v>
          </cell>
          <cell r="E201">
            <v>2000</v>
          </cell>
          <cell r="F201">
            <v>400</v>
          </cell>
          <cell r="I201">
            <v>2400</v>
          </cell>
          <cell r="J201" t="str">
            <v>G</v>
          </cell>
          <cell r="K201" t="str">
            <v>ISEG</v>
          </cell>
          <cell r="L201" t="str">
            <v>PUQUI</v>
          </cell>
        </row>
        <row r="202">
          <cell r="A202">
            <v>1127</v>
          </cell>
          <cell r="B202" t="str">
            <v>PFEIFFER TUBINO ENRIQUE BENJAMI</v>
          </cell>
          <cell r="C202">
            <v>1950</v>
          </cell>
          <cell r="D202">
            <v>1997</v>
          </cell>
          <cell r="E202">
            <v>8560</v>
          </cell>
          <cell r="I202">
            <v>8560</v>
          </cell>
          <cell r="J202" t="str">
            <v>C</v>
          </cell>
          <cell r="K202" t="str">
            <v>ICIV</v>
          </cell>
          <cell r="L202" t="str">
            <v>SEG</v>
          </cell>
        </row>
        <row r="203">
          <cell r="A203">
            <v>1128</v>
          </cell>
          <cell r="B203" t="str">
            <v xml:space="preserve">BELLINA EGGERSTEDT JAVIER  </v>
          </cell>
          <cell r="C203">
            <v>1933</v>
          </cell>
          <cell r="D203">
            <v>1997</v>
          </cell>
          <cell r="E203">
            <v>9800</v>
          </cell>
          <cell r="I203">
            <v>9800</v>
          </cell>
          <cell r="J203" t="str">
            <v>C</v>
          </cell>
          <cell r="K203" t="str">
            <v>BIOL</v>
          </cell>
          <cell r="L203" t="str">
            <v>SEG</v>
          </cell>
        </row>
        <row r="204">
          <cell r="A204">
            <v>1130</v>
          </cell>
          <cell r="B204" t="str">
            <v>CAÑOTE GARCIA ROGER OSWALDO</v>
          </cell>
          <cell r="C204">
            <v>1970</v>
          </cell>
          <cell r="D204">
            <v>1997</v>
          </cell>
          <cell r="E204">
            <v>2100</v>
          </cell>
          <cell r="I204">
            <v>2100</v>
          </cell>
          <cell r="J204" t="str">
            <v>E</v>
          </cell>
          <cell r="K204" t="str">
            <v>IIND</v>
          </cell>
          <cell r="L204" t="str">
            <v>LOG</v>
          </cell>
        </row>
        <row r="205">
          <cell r="A205">
            <v>1135</v>
          </cell>
          <cell r="B205" t="str">
            <v>FRANCO SEMINARIO NANCY MARIA</v>
          </cell>
          <cell r="C205">
            <v>1974</v>
          </cell>
          <cell r="D205">
            <v>1997</v>
          </cell>
          <cell r="E205">
            <v>1400</v>
          </cell>
          <cell r="I205">
            <v>1400</v>
          </cell>
          <cell r="J205" t="str">
            <v>G</v>
          </cell>
          <cell r="K205" t="str">
            <v>SEC</v>
          </cell>
          <cell r="L205" t="str">
            <v>AUTSR</v>
          </cell>
        </row>
        <row r="206">
          <cell r="A206">
            <v>1136</v>
          </cell>
          <cell r="B206" t="str">
            <v>DONGO SANCHEZ TIRADO OSCAR DANIEL</v>
          </cell>
          <cell r="C206">
            <v>1968</v>
          </cell>
          <cell r="D206">
            <v>1997</v>
          </cell>
          <cell r="E206">
            <v>4000</v>
          </cell>
          <cell r="I206">
            <v>4000</v>
          </cell>
          <cell r="J206" t="str">
            <v>F</v>
          </cell>
          <cell r="K206" t="str">
            <v>ICIV</v>
          </cell>
          <cell r="L206" t="str">
            <v>LIQUID</v>
          </cell>
        </row>
        <row r="207">
          <cell r="A207">
            <v>1137</v>
          </cell>
          <cell r="B207" t="str">
            <v xml:space="preserve">DOLCI BOTTA FIORELLA </v>
          </cell>
          <cell r="C207">
            <v>1969</v>
          </cell>
          <cell r="D207">
            <v>1997</v>
          </cell>
          <cell r="E207">
            <v>6500</v>
          </cell>
          <cell r="I207">
            <v>6500</v>
          </cell>
          <cell r="J207" t="str">
            <v>E</v>
          </cell>
          <cell r="K207" t="str">
            <v>ADM</v>
          </cell>
          <cell r="L207" t="str">
            <v>FIN</v>
          </cell>
        </row>
        <row r="208">
          <cell r="A208">
            <v>1139</v>
          </cell>
          <cell r="B208" t="str">
            <v>SANCHEZ GRANDEZ JOHNNY RICHARD</v>
          </cell>
          <cell r="C208">
            <v>1972</v>
          </cell>
          <cell r="D208">
            <v>1997</v>
          </cell>
          <cell r="E208">
            <v>2760</v>
          </cell>
          <cell r="I208">
            <v>2760</v>
          </cell>
          <cell r="J208" t="str">
            <v>E</v>
          </cell>
          <cell r="K208" t="str">
            <v>CTD</v>
          </cell>
          <cell r="L208" t="str">
            <v>CTB</v>
          </cell>
        </row>
        <row r="209">
          <cell r="A209">
            <v>1140</v>
          </cell>
          <cell r="B209" t="str">
            <v xml:space="preserve">DAZA DURAN ESTEBAN  </v>
          </cell>
          <cell r="C209">
            <v>1961</v>
          </cell>
          <cell r="D209">
            <v>1997</v>
          </cell>
          <cell r="E209">
            <v>1352</v>
          </cell>
          <cell r="I209">
            <v>1352</v>
          </cell>
          <cell r="J209" t="str">
            <v>G</v>
          </cell>
          <cell r="K209">
            <v>0</v>
          </cell>
          <cell r="L209" t="str">
            <v>DIVEM</v>
          </cell>
        </row>
        <row r="210">
          <cell r="A210">
            <v>1142</v>
          </cell>
          <cell r="B210" t="str">
            <v>LAOS LOCK MONICA CECILIA</v>
          </cell>
          <cell r="C210">
            <v>1972</v>
          </cell>
          <cell r="D210">
            <v>1997</v>
          </cell>
          <cell r="E210">
            <v>2100</v>
          </cell>
          <cell r="I210">
            <v>2100</v>
          </cell>
          <cell r="J210" t="str">
            <v>F</v>
          </cell>
          <cell r="K210" t="str">
            <v>SEC</v>
          </cell>
          <cell r="L210" t="str">
            <v>FINSEG</v>
          </cell>
        </row>
        <row r="211">
          <cell r="A211">
            <v>1143</v>
          </cell>
          <cell r="B211" t="str">
            <v>RAVETTINO MESINAS MANUEL GUADALUPE</v>
          </cell>
          <cell r="C211">
            <v>1970</v>
          </cell>
          <cell r="D211">
            <v>1997</v>
          </cell>
          <cell r="E211">
            <v>2800</v>
          </cell>
          <cell r="I211">
            <v>2800</v>
          </cell>
          <cell r="J211" t="str">
            <v>E</v>
          </cell>
          <cell r="K211" t="str">
            <v>ABG</v>
          </cell>
          <cell r="L211" t="str">
            <v>PTOS</v>
          </cell>
        </row>
        <row r="212">
          <cell r="A212">
            <v>1145</v>
          </cell>
          <cell r="B212" t="str">
            <v>DE LOS RIOS CORDOVA URSULA CARMEN</v>
          </cell>
          <cell r="C212">
            <v>1973</v>
          </cell>
          <cell r="D212">
            <v>1997</v>
          </cell>
          <cell r="E212">
            <v>2940</v>
          </cell>
          <cell r="I212">
            <v>2940</v>
          </cell>
          <cell r="J212" t="str">
            <v>F</v>
          </cell>
          <cell r="K212" t="str">
            <v>RIND</v>
          </cell>
          <cell r="L212" t="str">
            <v>RRHH</v>
          </cell>
        </row>
        <row r="213">
          <cell r="A213">
            <v>1147</v>
          </cell>
          <cell r="B213" t="str">
            <v>LINDLEY OLAZO EDUARDO FABRICI</v>
          </cell>
          <cell r="C213">
            <v>1971</v>
          </cell>
          <cell r="D213">
            <v>1997</v>
          </cell>
          <cell r="E213">
            <v>14000</v>
          </cell>
          <cell r="I213">
            <v>14000</v>
          </cell>
          <cell r="J213" t="str">
            <v>C</v>
          </cell>
          <cell r="K213" t="str">
            <v>IIND</v>
          </cell>
          <cell r="L213" t="str">
            <v>GGCEQ</v>
          </cell>
        </row>
        <row r="214">
          <cell r="A214">
            <v>1148</v>
          </cell>
          <cell r="B214" t="str">
            <v>BUSTINZA RODRIGUEZ JUAN HERACLIDES</v>
          </cell>
          <cell r="C214">
            <v>1942</v>
          </cell>
          <cell r="D214">
            <v>1997</v>
          </cell>
          <cell r="E214">
            <v>6800</v>
          </cell>
          <cell r="I214">
            <v>6800</v>
          </cell>
          <cell r="J214" t="str">
            <v>D</v>
          </cell>
          <cell r="K214" t="str">
            <v>IMEL</v>
          </cell>
          <cell r="L214" t="str">
            <v>LOG</v>
          </cell>
        </row>
        <row r="215">
          <cell r="A215">
            <v>1149</v>
          </cell>
          <cell r="B215" t="str">
            <v xml:space="preserve">JERI WILDEN FANNY  </v>
          </cell>
          <cell r="C215">
            <v>1965</v>
          </cell>
          <cell r="D215">
            <v>1997</v>
          </cell>
          <cell r="E215">
            <v>2450</v>
          </cell>
          <cell r="I215">
            <v>2450</v>
          </cell>
          <cell r="J215" t="str">
            <v>E</v>
          </cell>
          <cell r="K215" t="str">
            <v>SEC</v>
          </cell>
          <cell r="L215" t="str">
            <v>DIVEM</v>
          </cell>
        </row>
        <row r="216">
          <cell r="A216">
            <v>1152</v>
          </cell>
          <cell r="B216" t="str">
            <v>PONCE BEZOLD MARIA GIOVANNA</v>
          </cell>
          <cell r="C216">
            <v>1972</v>
          </cell>
          <cell r="D216">
            <v>1997</v>
          </cell>
          <cell r="E216">
            <v>3135</v>
          </cell>
          <cell r="I216">
            <v>3135</v>
          </cell>
          <cell r="J216" t="str">
            <v>E</v>
          </cell>
          <cell r="K216" t="str">
            <v>SEC</v>
          </cell>
          <cell r="L216" t="str">
            <v>GTEC</v>
          </cell>
        </row>
        <row r="217">
          <cell r="A217">
            <v>1153</v>
          </cell>
          <cell r="B217" t="str">
            <v>GONZALES BUSTAMANTE DANTE RODOLFO</v>
          </cell>
          <cell r="C217">
            <v>1952</v>
          </cell>
          <cell r="D217">
            <v>1997</v>
          </cell>
          <cell r="E217">
            <v>4706.3500000000004</v>
          </cell>
          <cell r="I217">
            <v>4706.3500000000004</v>
          </cell>
          <cell r="J217" t="str">
            <v>D</v>
          </cell>
          <cell r="K217" t="str">
            <v>IME</v>
          </cell>
          <cell r="L217" t="str">
            <v>PTOS</v>
          </cell>
        </row>
        <row r="218">
          <cell r="A218">
            <v>1157</v>
          </cell>
          <cell r="B218" t="str">
            <v xml:space="preserve">JIMENEZ JIMENEZ JUAN  </v>
          </cell>
          <cell r="C218">
            <v>1962</v>
          </cell>
          <cell r="D218">
            <v>1997</v>
          </cell>
          <cell r="E218">
            <v>4347.82</v>
          </cell>
          <cell r="I218">
            <v>4347.82</v>
          </cell>
          <cell r="J218" t="str">
            <v>F</v>
          </cell>
          <cell r="K218" t="str">
            <v>IELEC</v>
          </cell>
          <cell r="L218" t="str">
            <v>LTCOS</v>
          </cell>
        </row>
        <row r="219">
          <cell r="A219">
            <v>1160</v>
          </cell>
          <cell r="B219" t="str">
            <v>ISHIDA DANCOURT MALENA VERONICA</v>
          </cell>
          <cell r="C219">
            <v>1970</v>
          </cell>
          <cell r="D219">
            <v>1997</v>
          </cell>
          <cell r="E219">
            <v>5000</v>
          </cell>
          <cell r="I219">
            <v>5000</v>
          </cell>
          <cell r="J219" t="str">
            <v>E</v>
          </cell>
          <cell r="K219" t="str">
            <v>CTD</v>
          </cell>
          <cell r="L219" t="str">
            <v>CTB</v>
          </cell>
        </row>
        <row r="220">
          <cell r="A220">
            <v>1162</v>
          </cell>
          <cell r="B220" t="str">
            <v>RIVAS COELLO JOSE LUIS</v>
          </cell>
          <cell r="C220">
            <v>1952</v>
          </cell>
          <cell r="D220">
            <v>1997</v>
          </cell>
          <cell r="E220">
            <v>9699.23</v>
          </cell>
          <cell r="F220">
            <v>2909.77</v>
          </cell>
          <cell r="I220">
            <v>12609</v>
          </cell>
          <cell r="J220" t="str">
            <v>D</v>
          </cell>
          <cell r="K220" t="str">
            <v>IMEL</v>
          </cell>
          <cell r="L220" t="str">
            <v>PTOS</v>
          </cell>
        </row>
        <row r="221">
          <cell r="A221">
            <v>1163</v>
          </cell>
          <cell r="B221" t="str">
            <v>CASTILLO DE LA TORRE MARTIN JUAN</v>
          </cell>
          <cell r="C221">
            <v>1968</v>
          </cell>
          <cell r="D221">
            <v>1997</v>
          </cell>
          <cell r="E221">
            <v>2979.16</v>
          </cell>
          <cell r="F221">
            <v>595.84</v>
          </cell>
          <cell r="I221">
            <v>3575</v>
          </cell>
          <cell r="J221" t="str">
            <v>F</v>
          </cell>
          <cell r="K221" t="str">
            <v>IME</v>
          </cell>
          <cell r="L221" t="str">
            <v>LTANTM</v>
          </cell>
        </row>
        <row r="222">
          <cell r="A222">
            <v>1164</v>
          </cell>
          <cell r="B222" t="str">
            <v>PEDRAGAS ALVAREZ SIXTO MARCELINO</v>
          </cell>
          <cell r="C222">
            <v>1959</v>
          </cell>
          <cell r="D222">
            <v>1997</v>
          </cell>
          <cell r="E222">
            <v>5217.3999999999996</v>
          </cell>
          <cell r="F222">
            <v>782.6</v>
          </cell>
          <cell r="I222">
            <v>6000</v>
          </cell>
          <cell r="J222" t="str">
            <v>E</v>
          </cell>
          <cell r="K222" t="str">
            <v>IELEC</v>
          </cell>
          <cell r="L222" t="str">
            <v>MESS</v>
          </cell>
        </row>
        <row r="223">
          <cell r="A223">
            <v>1165</v>
          </cell>
          <cell r="B223" t="str">
            <v>PORTA VELIZ DEYVE ERNESTO</v>
          </cell>
          <cell r="C223">
            <v>1968</v>
          </cell>
          <cell r="D223">
            <v>1997</v>
          </cell>
          <cell r="E223">
            <v>8695.66</v>
          </cell>
          <cell r="F223">
            <v>1304.3399999999999</v>
          </cell>
          <cell r="I223">
            <v>10000</v>
          </cell>
          <cell r="J223" t="str">
            <v>C</v>
          </cell>
          <cell r="K223" t="str">
            <v>IME</v>
          </cell>
          <cell r="L223" t="str">
            <v>MESS</v>
          </cell>
        </row>
        <row r="224">
          <cell r="A224">
            <v>1167</v>
          </cell>
          <cell r="B224" t="str">
            <v>SANTOS MARDINI GUILLERMO ALBERTO</v>
          </cell>
          <cell r="C224">
            <v>1961</v>
          </cell>
          <cell r="D224">
            <v>1997</v>
          </cell>
          <cell r="E224">
            <v>4511.82</v>
          </cell>
          <cell r="F224">
            <v>451.18</v>
          </cell>
          <cell r="I224">
            <v>4963</v>
          </cell>
          <cell r="J224" t="str">
            <v>D</v>
          </cell>
          <cell r="K224" t="str">
            <v>IMEL</v>
          </cell>
          <cell r="L224" t="str">
            <v>MESS</v>
          </cell>
        </row>
        <row r="225">
          <cell r="A225">
            <v>1168</v>
          </cell>
          <cell r="B225" t="str">
            <v>MONTALVAN BUSTAMANTE CESAR AUGUSTO</v>
          </cell>
          <cell r="C225">
            <v>1966</v>
          </cell>
          <cell r="D225">
            <v>1997</v>
          </cell>
          <cell r="E225">
            <v>4174</v>
          </cell>
          <cell r="F225">
            <v>626.08000000000004</v>
          </cell>
          <cell r="I225">
            <v>4800.08</v>
          </cell>
          <cell r="J225" t="str">
            <v>E</v>
          </cell>
          <cell r="K225" t="str">
            <v>IMEL</v>
          </cell>
          <cell r="L225" t="str">
            <v>MESS</v>
          </cell>
        </row>
        <row r="226">
          <cell r="A226">
            <v>1169</v>
          </cell>
          <cell r="B226" t="str">
            <v xml:space="preserve">VILELA SAAVEDRA LONGOBARDO  </v>
          </cell>
          <cell r="C226">
            <v>1957</v>
          </cell>
          <cell r="D226">
            <v>1999</v>
          </cell>
          <cell r="E226">
            <v>5000</v>
          </cell>
          <cell r="F226">
            <v>1500</v>
          </cell>
          <cell r="I226">
            <v>6500</v>
          </cell>
          <cell r="J226" t="str">
            <v>s/c</v>
          </cell>
          <cell r="K226" t="str">
            <v>IELEC</v>
          </cell>
          <cell r="L226" t="str">
            <v>PUQUI</v>
          </cell>
        </row>
        <row r="227">
          <cell r="A227">
            <v>1170</v>
          </cell>
          <cell r="B227" t="str">
            <v xml:space="preserve">DUEÑAS GALLEGOS JESUS  </v>
          </cell>
          <cell r="C227">
            <v>1960</v>
          </cell>
          <cell r="D227">
            <v>1997</v>
          </cell>
          <cell r="E227">
            <v>3200</v>
          </cell>
          <cell r="F227">
            <v>640</v>
          </cell>
          <cell r="I227">
            <v>3840</v>
          </cell>
          <cell r="J227" t="str">
            <v>E</v>
          </cell>
          <cell r="K227" t="str">
            <v>CTD</v>
          </cell>
          <cell r="L227" t="str">
            <v>MESS</v>
          </cell>
        </row>
        <row r="228">
          <cell r="A228">
            <v>1172</v>
          </cell>
          <cell r="B228" t="str">
            <v>MARTINEZ LOZANO LUIS MIGUEL</v>
          </cell>
          <cell r="C228">
            <v>1939</v>
          </cell>
          <cell r="D228">
            <v>1997</v>
          </cell>
          <cell r="E228">
            <v>4962</v>
          </cell>
          <cell r="F228">
            <v>745</v>
          </cell>
          <cell r="I228">
            <v>5707</v>
          </cell>
          <cell r="J228" t="str">
            <v>E</v>
          </cell>
          <cell r="K228" t="str">
            <v>MEC</v>
          </cell>
          <cell r="L228" t="str">
            <v>MESS</v>
          </cell>
        </row>
        <row r="229">
          <cell r="A229">
            <v>1176</v>
          </cell>
          <cell r="B229" t="str">
            <v>PRIETO CHAVEZ LUIS ANTENOR</v>
          </cell>
          <cell r="C229">
            <v>1968</v>
          </cell>
          <cell r="D229">
            <v>1997</v>
          </cell>
          <cell r="E229">
            <v>1400</v>
          </cell>
          <cell r="F229">
            <v>280</v>
          </cell>
          <cell r="I229">
            <v>1680</v>
          </cell>
          <cell r="J229" t="str">
            <v>G</v>
          </cell>
          <cell r="K229" t="str">
            <v>PRG</v>
          </cell>
          <cell r="L229" t="str">
            <v>LIQUID</v>
          </cell>
        </row>
        <row r="230">
          <cell r="A230">
            <v>1177</v>
          </cell>
          <cell r="B230" t="str">
            <v>PASTOR CASTILLO CESAR ARISTIDES</v>
          </cell>
          <cell r="C230">
            <v>1950</v>
          </cell>
          <cell r="D230">
            <v>1999</v>
          </cell>
          <cell r="E230">
            <v>2674.59</v>
          </cell>
          <cell r="F230">
            <v>936.11</v>
          </cell>
          <cell r="I230">
            <v>3610.7</v>
          </cell>
          <cell r="J230" t="str">
            <v>E</v>
          </cell>
          <cell r="K230" t="str">
            <v>CTD</v>
          </cell>
          <cell r="L230" t="str">
            <v>TORAT</v>
          </cell>
        </row>
        <row r="231">
          <cell r="A231">
            <v>1178</v>
          </cell>
          <cell r="B231" t="str">
            <v xml:space="preserve">TOMAYA PURGUAYA VICTORIANO  </v>
          </cell>
          <cell r="C231">
            <v>1956</v>
          </cell>
          <cell r="D231">
            <v>1997</v>
          </cell>
          <cell r="E231">
            <v>1550</v>
          </cell>
          <cell r="I231">
            <v>1550</v>
          </cell>
          <cell r="J231" t="str">
            <v>H</v>
          </cell>
          <cell r="K231" t="str">
            <v>MEC</v>
          </cell>
          <cell r="L231" t="str">
            <v>CEQAL</v>
          </cell>
        </row>
        <row r="232">
          <cell r="A232">
            <v>1179</v>
          </cell>
          <cell r="B232" t="str">
            <v>OSORIO GUERRERO SANTOS ROMAN</v>
          </cell>
          <cell r="C232">
            <v>1960</v>
          </cell>
          <cell r="D232">
            <v>1997</v>
          </cell>
          <cell r="E232">
            <v>1270</v>
          </cell>
          <cell r="I232">
            <v>1270</v>
          </cell>
          <cell r="J232" t="str">
            <v>H</v>
          </cell>
          <cell r="K232" t="str">
            <v>MEC</v>
          </cell>
          <cell r="L232" t="str">
            <v>CEQAL</v>
          </cell>
        </row>
        <row r="233">
          <cell r="A233">
            <v>1185</v>
          </cell>
          <cell r="B233" t="str">
            <v>ROSADIO BENDEZU GUILLERMO EDILBERTO</v>
          </cell>
          <cell r="C233">
            <v>1969</v>
          </cell>
          <cell r="D233">
            <v>1997</v>
          </cell>
          <cell r="E233">
            <v>3745</v>
          </cell>
          <cell r="I233">
            <v>3745</v>
          </cell>
          <cell r="J233" t="str">
            <v>F</v>
          </cell>
          <cell r="K233" t="str">
            <v>ISIS</v>
          </cell>
          <cell r="L233" t="str">
            <v>PROD</v>
          </cell>
        </row>
        <row r="234">
          <cell r="A234">
            <v>1188</v>
          </cell>
          <cell r="B234" t="str">
            <v>ESPINOZA PALACIOS TITO ARMANDO</v>
          </cell>
          <cell r="C234">
            <v>1958</v>
          </cell>
          <cell r="D234">
            <v>1997</v>
          </cell>
          <cell r="E234">
            <v>4760</v>
          </cell>
          <cell r="F234">
            <v>238</v>
          </cell>
          <cell r="I234">
            <v>4998</v>
          </cell>
          <cell r="J234" t="str">
            <v>D</v>
          </cell>
          <cell r="K234" t="str">
            <v>ISEG</v>
          </cell>
          <cell r="L234" t="str">
            <v>TORAT</v>
          </cell>
        </row>
        <row r="235">
          <cell r="A235">
            <v>1192</v>
          </cell>
          <cell r="B235" t="str">
            <v>FIGUEROA CHUNGA NIKOLAYEV PAVEL</v>
          </cell>
          <cell r="C235">
            <v>1972</v>
          </cell>
          <cell r="D235">
            <v>1998</v>
          </cell>
          <cell r="E235">
            <v>2500</v>
          </cell>
          <cell r="F235">
            <v>500</v>
          </cell>
          <cell r="I235">
            <v>3000</v>
          </cell>
          <cell r="J235" t="str">
            <v>F</v>
          </cell>
          <cell r="K235" t="str">
            <v>IME</v>
          </cell>
          <cell r="L235" t="str">
            <v>LTMS</v>
          </cell>
        </row>
        <row r="236">
          <cell r="A236">
            <v>1193</v>
          </cell>
          <cell r="B236" t="str">
            <v>VIDAL LAVADO ORLANDO ROCITO</v>
          </cell>
          <cell r="C236">
            <v>1969</v>
          </cell>
          <cell r="D236">
            <v>1997</v>
          </cell>
          <cell r="E236">
            <v>1950</v>
          </cell>
          <cell r="I236">
            <v>1950</v>
          </cell>
          <cell r="J236" t="str">
            <v>H</v>
          </cell>
          <cell r="K236" t="str">
            <v>CONS</v>
          </cell>
          <cell r="L236" t="str">
            <v>PTOS</v>
          </cell>
        </row>
        <row r="237">
          <cell r="A237">
            <v>1196</v>
          </cell>
          <cell r="B237" t="str">
            <v>AURIS CORNEJO JUAN MARCELINO</v>
          </cell>
          <cell r="C237">
            <v>1960</v>
          </cell>
          <cell r="D237">
            <v>1997</v>
          </cell>
          <cell r="E237">
            <v>5302.58</v>
          </cell>
          <cell r="F237">
            <v>1060.52</v>
          </cell>
          <cell r="I237">
            <v>6363.1</v>
          </cell>
          <cell r="J237" t="str">
            <v>D</v>
          </cell>
          <cell r="K237" t="str">
            <v>IMEL</v>
          </cell>
          <cell r="L237" t="str">
            <v>PTOS</v>
          </cell>
        </row>
        <row r="238">
          <cell r="A238">
            <v>1203</v>
          </cell>
          <cell r="B238" t="str">
            <v>ABURTO TRUJILLO ROBERTO JAVIER</v>
          </cell>
          <cell r="C238">
            <v>1955</v>
          </cell>
          <cell r="D238">
            <v>1997</v>
          </cell>
          <cell r="E238">
            <v>2132.9299999999998</v>
          </cell>
          <cell r="F238">
            <v>533.24</v>
          </cell>
          <cell r="I238">
            <v>2666.17</v>
          </cell>
          <cell r="J238" t="str">
            <v>F</v>
          </cell>
          <cell r="K238" t="str">
            <v>TCONT</v>
          </cell>
          <cell r="L238" t="str">
            <v>LTANT</v>
          </cell>
        </row>
        <row r="239">
          <cell r="A239">
            <v>1213</v>
          </cell>
          <cell r="B239" t="str">
            <v xml:space="preserve">GUGLIELMINO PEDREROS KAREN  </v>
          </cell>
          <cell r="C239">
            <v>1973</v>
          </cell>
          <cell r="D239">
            <v>1997</v>
          </cell>
          <cell r="E239">
            <v>1916.36</v>
          </cell>
          <cell r="F239">
            <v>191.64</v>
          </cell>
          <cell r="I239">
            <v>2108</v>
          </cell>
          <cell r="J239" t="str">
            <v>G</v>
          </cell>
          <cell r="K239" t="str">
            <v>ARQ</v>
          </cell>
          <cell r="L239" t="str">
            <v>MARR</v>
          </cell>
        </row>
        <row r="240">
          <cell r="A240">
            <v>1219</v>
          </cell>
          <cell r="B240" t="str">
            <v>ESTRADA DAVILA OSCAR LORENZO</v>
          </cell>
          <cell r="C240">
            <v>1956</v>
          </cell>
          <cell r="D240">
            <v>1997</v>
          </cell>
          <cell r="E240">
            <v>9405</v>
          </cell>
          <cell r="F240">
            <v>1881</v>
          </cell>
          <cell r="I240">
            <v>11286</v>
          </cell>
          <cell r="J240" t="str">
            <v>D</v>
          </cell>
          <cell r="K240" t="str">
            <v>ECON</v>
          </cell>
          <cell r="L240" t="str">
            <v>LTMANT</v>
          </cell>
        </row>
        <row r="241">
          <cell r="A241">
            <v>1222</v>
          </cell>
          <cell r="B241" t="str">
            <v>PAREJA KAWASHIMA CLAUDIO ENRIQUE</v>
          </cell>
          <cell r="C241">
            <v>1965</v>
          </cell>
          <cell r="D241">
            <v>1998</v>
          </cell>
          <cell r="E241">
            <v>1900</v>
          </cell>
          <cell r="F241">
            <v>500</v>
          </cell>
          <cell r="I241">
            <v>2400</v>
          </cell>
          <cell r="J241" t="str">
            <v>H</v>
          </cell>
          <cell r="K241" t="str">
            <v>PRG</v>
          </cell>
          <cell r="L241" t="str">
            <v>MESS</v>
          </cell>
        </row>
        <row r="242">
          <cell r="A242">
            <v>1226</v>
          </cell>
          <cell r="B242" t="str">
            <v>BAZAN VEGA EDUARDO JESUS</v>
          </cell>
          <cell r="C242">
            <v>1974</v>
          </cell>
          <cell r="D242">
            <v>1997</v>
          </cell>
          <cell r="E242">
            <v>1650</v>
          </cell>
          <cell r="I242">
            <v>1650</v>
          </cell>
          <cell r="J242" t="str">
            <v>G</v>
          </cell>
          <cell r="K242" t="str">
            <v>CONS</v>
          </cell>
          <cell r="L242" t="str">
            <v>PTOS</v>
          </cell>
        </row>
        <row r="243">
          <cell r="A243">
            <v>1237</v>
          </cell>
          <cell r="B243" t="str">
            <v xml:space="preserve">BANDA RONCAL SEGUNDO  </v>
          </cell>
          <cell r="C243">
            <v>1956</v>
          </cell>
          <cell r="D243">
            <v>1997</v>
          </cell>
          <cell r="E243">
            <v>7116</v>
          </cell>
          <cell r="F243">
            <v>1400</v>
          </cell>
          <cell r="I243">
            <v>8516</v>
          </cell>
          <cell r="J243" t="str">
            <v>E</v>
          </cell>
          <cell r="K243" t="str">
            <v>TELC</v>
          </cell>
          <cell r="L243" t="str">
            <v>MESS</v>
          </cell>
        </row>
        <row r="244">
          <cell r="A244">
            <v>1240</v>
          </cell>
          <cell r="B244" t="str">
            <v>DAVILA GARCIA CLAUDIA ROSSANA</v>
          </cell>
          <cell r="C244">
            <v>1965</v>
          </cell>
          <cell r="D244">
            <v>1997</v>
          </cell>
          <cell r="E244">
            <v>1350</v>
          </cell>
          <cell r="I244">
            <v>1350</v>
          </cell>
          <cell r="J244" t="str">
            <v>F</v>
          </cell>
          <cell r="K244" t="str">
            <v>SEC</v>
          </cell>
          <cell r="L244" t="str">
            <v>LOG</v>
          </cell>
        </row>
        <row r="245">
          <cell r="A245">
            <v>1241</v>
          </cell>
          <cell r="B245" t="str">
            <v>MESONES GONZALES SANTIAGO ROBERTO</v>
          </cell>
          <cell r="C245">
            <v>1965</v>
          </cell>
          <cell r="D245">
            <v>1997</v>
          </cell>
          <cell r="E245">
            <v>6480</v>
          </cell>
          <cell r="I245">
            <v>6480</v>
          </cell>
          <cell r="J245" t="str">
            <v>E</v>
          </cell>
          <cell r="K245" t="str">
            <v>IME</v>
          </cell>
          <cell r="L245" t="str">
            <v>CEQGG</v>
          </cell>
        </row>
        <row r="246">
          <cell r="A246">
            <v>1248</v>
          </cell>
          <cell r="B246" t="str">
            <v>ALVITES BULLON MARCO ANTONIO</v>
          </cell>
          <cell r="C246">
            <v>1953</v>
          </cell>
          <cell r="D246">
            <v>1999</v>
          </cell>
          <cell r="E246">
            <v>3000</v>
          </cell>
          <cell r="F246">
            <v>900</v>
          </cell>
          <cell r="I246">
            <v>3900</v>
          </cell>
          <cell r="J246" t="str">
            <v>s/c</v>
          </cell>
          <cell r="K246" t="str">
            <v>IELEC</v>
          </cell>
          <cell r="L246" t="str">
            <v>PUQUI</v>
          </cell>
        </row>
        <row r="247">
          <cell r="A247">
            <v>1250</v>
          </cell>
          <cell r="B247" t="str">
            <v>QUILCATE COLFER JAVIER SEGUNDO</v>
          </cell>
          <cell r="C247">
            <v>1967</v>
          </cell>
          <cell r="D247">
            <v>1997</v>
          </cell>
          <cell r="E247">
            <v>3583.34</v>
          </cell>
          <cell r="F247">
            <v>716.66</v>
          </cell>
          <cell r="I247">
            <v>4300</v>
          </cell>
          <cell r="J247" t="str">
            <v>F</v>
          </cell>
          <cell r="K247" t="str">
            <v>ADM</v>
          </cell>
          <cell r="L247" t="str">
            <v>MESS</v>
          </cell>
        </row>
        <row r="248">
          <cell r="A248">
            <v>1255</v>
          </cell>
          <cell r="B248" t="str">
            <v>HURTADO PEREZ PALMA RAUL UBALDO</v>
          </cell>
          <cell r="C248">
            <v>1941</v>
          </cell>
          <cell r="D248">
            <v>1997</v>
          </cell>
          <cell r="E248">
            <v>1900</v>
          </cell>
          <cell r="I248">
            <v>1900</v>
          </cell>
          <cell r="J248" t="str">
            <v>G</v>
          </cell>
          <cell r="K248" t="str">
            <v>TSEG</v>
          </cell>
          <cell r="L248" t="str">
            <v>LIQUID</v>
          </cell>
        </row>
        <row r="249">
          <cell r="A249">
            <v>1262</v>
          </cell>
          <cell r="B249" t="str">
            <v>GOMEZ ALVAREZ ANGEL DIMAS</v>
          </cell>
          <cell r="C249">
            <v>1969</v>
          </cell>
          <cell r="D249">
            <v>1997</v>
          </cell>
          <cell r="E249">
            <v>3470.84</v>
          </cell>
          <cell r="F249">
            <v>694.16</v>
          </cell>
          <cell r="I249">
            <v>4165</v>
          </cell>
          <cell r="J249" t="str">
            <v>E</v>
          </cell>
          <cell r="K249" t="str">
            <v>IIND</v>
          </cell>
          <cell r="L249" t="str">
            <v>PUQUI</v>
          </cell>
        </row>
        <row r="250">
          <cell r="A250">
            <v>1263</v>
          </cell>
          <cell r="B250" t="str">
            <v>ROMERO GALLEGOS JOSE LUIS</v>
          </cell>
          <cell r="C250">
            <v>1967</v>
          </cell>
          <cell r="D250">
            <v>1997</v>
          </cell>
          <cell r="E250">
            <v>8333.34</v>
          </cell>
          <cell r="F250">
            <v>1666.66</v>
          </cell>
          <cell r="I250">
            <v>10000</v>
          </cell>
          <cell r="J250" t="str">
            <v>C</v>
          </cell>
          <cell r="K250" t="str">
            <v>IMEL</v>
          </cell>
          <cell r="L250" t="str">
            <v>PTOS</v>
          </cell>
        </row>
        <row r="251">
          <cell r="A251">
            <v>1270</v>
          </cell>
          <cell r="B251" t="str">
            <v>ZAPANA CURO ENRIQUE LELIS</v>
          </cell>
          <cell r="C251">
            <v>1958</v>
          </cell>
          <cell r="D251">
            <v>1999</v>
          </cell>
          <cell r="E251">
            <v>1600</v>
          </cell>
          <cell r="F251">
            <v>480</v>
          </cell>
          <cell r="I251">
            <v>2080</v>
          </cell>
          <cell r="J251" t="str">
            <v>s/c</v>
          </cell>
          <cell r="K251" t="str">
            <v>TELC</v>
          </cell>
          <cell r="L251" t="str">
            <v>PUQUI</v>
          </cell>
        </row>
        <row r="252">
          <cell r="A252">
            <v>1275</v>
          </cell>
          <cell r="B252" t="str">
            <v xml:space="preserve">LIMACO VALENCIA PEDRO  </v>
          </cell>
          <cell r="C252">
            <v>1966</v>
          </cell>
          <cell r="D252">
            <v>1997</v>
          </cell>
          <cell r="E252">
            <v>4000</v>
          </cell>
          <cell r="F252">
            <v>800</v>
          </cell>
          <cell r="I252">
            <v>4800</v>
          </cell>
          <cell r="J252" t="str">
            <v>E</v>
          </cell>
          <cell r="K252" t="str">
            <v>IELEC</v>
          </cell>
          <cell r="L252" t="str">
            <v>LTCOS</v>
          </cell>
        </row>
        <row r="253">
          <cell r="A253">
            <v>1276</v>
          </cell>
          <cell r="B253" t="str">
            <v xml:space="preserve">CARPIO GARCIA OCTAVIO  </v>
          </cell>
          <cell r="C253">
            <v>1944</v>
          </cell>
          <cell r="D253">
            <v>1997</v>
          </cell>
          <cell r="E253">
            <v>4000</v>
          </cell>
          <cell r="I253">
            <v>4000</v>
          </cell>
          <cell r="J253" t="str">
            <v>E</v>
          </cell>
          <cell r="K253" t="str">
            <v>TADM</v>
          </cell>
          <cell r="L253" t="str">
            <v>SED 16</v>
          </cell>
        </row>
        <row r="254">
          <cell r="A254">
            <v>1277</v>
          </cell>
          <cell r="B254" t="str">
            <v>PEREZ GAMBOA LUIS ANTONIO</v>
          </cell>
          <cell r="C254">
            <v>1964</v>
          </cell>
          <cell r="D254">
            <v>1998</v>
          </cell>
          <cell r="E254">
            <v>3906.66</v>
          </cell>
          <cell r="F254">
            <v>1171.99</v>
          </cell>
          <cell r="I254">
            <v>5078.6499999999996</v>
          </cell>
          <cell r="J254" t="str">
            <v>D</v>
          </cell>
          <cell r="K254" t="str">
            <v>IELEC</v>
          </cell>
          <cell r="L254" t="str">
            <v>LTMS</v>
          </cell>
        </row>
        <row r="255">
          <cell r="A255">
            <v>1279</v>
          </cell>
          <cell r="B255" t="str">
            <v>LUNA FIGUEROA TOMAS JOSE</v>
          </cell>
          <cell r="C255">
            <v>1955</v>
          </cell>
          <cell r="D255">
            <v>1997</v>
          </cell>
          <cell r="E255">
            <v>3503</v>
          </cell>
          <cell r="F255">
            <v>1050.9000000000001</v>
          </cell>
          <cell r="I255">
            <v>4553.8999999999996</v>
          </cell>
          <cell r="J255" t="str">
            <v>F</v>
          </cell>
          <cell r="K255" t="str">
            <v>IELEC</v>
          </cell>
          <cell r="L255" t="str">
            <v>LTMS</v>
          </cell>
        </row>
        <row r="256">
          <cell r="A256">
            <v>1280</v>
          </cell>
          <cell r="B256" t="str">
            <v>COTTLE VALLE WILLIAM JAMES</v>
          </cell>
          <cell r="C256">
            <v>1954</v>
          </cell>
          <cell r="D256">
            <v>1997</v>
          </cell>
          <cell r="E256">
            <v>16000</v>
          </cell>
          <cell r="I256">
            <v>16000</v>
          </cell>
          <cell r="J256" t="str">
            <v>B</v>
          </cell>
          <cell r="K256" t="str">
            <v>IME</v>
          </cell>
          <cell r="L256" t="str">
            <v>DIVEM</v>
          </cell>
        </row>
        <row r="257">
          <cell r="A257">
            <v>1281</v>
          </cell>
          <cell r="B257" t="str">
            <v xml:space="preserve">PASCUAL ESPINOZA ESTEBAN  </v>
          </cell>
          <cell r="C257">
            <v>1955</v>
          </cell>
          <cell r="D257">
            <v>1997</v>
          </cell>
          <cell r="E257">
            <v>850</v>
          </cell>
          <cell r="I257">
            <v>850</v>
          </cell>
          <cell r="J257" t="str">
            <v>H</v>
          </cell>
          <cell r="K257" t="str">
            <v>MEC</v>
          </cell>
          <cell r="L257" t="str">
            <v>EDIFGM</v>
          </cell>
        </row>
        <row r="258">
          <cell r="A258">
            <v>1282</v>
          </cell>
          <cell r="B258" t="str">
            <v xml:space="preserve">VILLANTOY GARCIA MAXIMO  </v>
          </cell>
          <cell r="C258">
            <v>1949</v>
          </cell>
          <cell r="D258">
            <v>1997</v>
          </cell>
          <cell r="E258">
            <v>1973</v>
          </cell>
          <cell r="F258">
            <v>591.9</v>
          </cell>
          <cell r="I258">
            <v>2564.9</v>
          </cell>
          <cell r="J258" t="str">
            <v>G</v>
          </cell>
          <cell r="K258" t="str">
            <v>TELC</v>
          </cell>
          <cell r="L258" t="str">
            <v>LTMS</v>
          </cell>
        </row>
        <row r="259">
          <cell r="A259">
            <v>1283</v>
          </cell>
          <cell r="B259" t="str">
            <v xml:space="preserve">PASTOR ABANTO HIPOLITO  </v>
          </cell>
          <cell r="C259">
            <v>1956</v>
          </cell>
          <cell r="D259">
            <v>1997</v>
          </cell>
          <cell r="E259">
            <v>5980</v>
          </cell>
          <cell r="F259">
            <v>1196</v>
          </cell>
          <cell r="I259">
            <v>7176</v>
          </cell>
          <cell r="J259" t="str">
            <v>E</v>
          </cell>
          <cell r="K259" t="str">
            <v>TSUP</v>
          </cell>
          <cell r="L259" t="str">
            <v>LTMS</v>
          </cell>
        </row>
        <row r="260">
          <cell r="A260">
            <v>1285</v>
          </cell>
          <cell r="B260" t="str">
            <v>MORVELI MUJICA WALTER VIDAL</v>
          </cell>
          <cell r="C260">
            <v>1958</v>
          </cell>
          <cell r="D260">
            <v>1997</v>
          </cell>
          <cell r="E260">
            <v>6666.67</v>
          </cell>
          <cell r="F260">
            <v>2000</v>
          </cell>
          <cell r="I260">
            <v>8666.67</v>
          </cell>
          <cell r="J260" t="str">
            <v>D</v>
          </cell>
          <cell r="K260" t="str">
            <v>IELEC</v>
          </cell>
          <cell r="L260" t="str">
            <v>LTCOS</v>
          </cell>
        </row>
        <row r="261">
          <cell r="A261">
            <v>1287</v>
          </cell>
          <cell r="B261" t="str">
            <v>MONDRAGON OLAYA ERICK MANFREDO</v>
          </cell>
          <cell r="C261">
            <v>1969</v>
          </cell>
          <cell r="D261">
            <v>1997</v>
          </cell>
          <cell r="E261">
            <v>5600</v>
          </cell>
          <cell r="F261">
            <v>1400</v>
          </cell>
          <cell r="I261">
            <v>7000</v>
          </cell>
          <cell r="J261" t="str">
            <v>D</v>
          </cell>
          <cell r="K261" t="str">
            <v>IMEL</v>
          </cell>
          <cell r="L261" t="str">
            <v>PTOS</v>
          </cell>
        </row>
        <row r="262">
          <cell r="A262">
            <v>1290</v>
          </cell>
          <cell r="B262" t="str">
            <v>PEREZ GAMBOA MARCO ANTONIO</v>
          </cell>
          <cell r="C262">
            <v>1960</v>
          </cell>
          <cell r="D262">
            <v>1997</v>
          </cell>
          <cell r="E262">
            <v>3906.67</v>
          </cell>
          <cell r="F262">
            <v>1172</v>
          </cell>
          <cell r="I262">
            <v>5078.67</v>
          </cell>
          <cell r="J262" t="str">
            <v>E</v>
          </cell>
          <cell r="K262" t="str">
            <v>ICIV</v>
          </cell>
          <cell r="L262" t="str">
            <v>LTMS</v>
          </cell>
        </row>
        <row r="263">
          <cell r="A263">
            <v>1291</v>
          </cell>
          <cell r="B263" t="str">
            <v xml:space="preserve">DE LA CRUZ PUICON AUGUSTO  </v>
          </cell>
          <cell r="C263">
            <v>1956</v>
          </cell>
          <cell r="D263">
            <v>1997</v>
          </cell>
          <cell r="E263">
            <v>5424</v>
          </cell>
          <cell r="F263">
            <v>1627.2</v>
          </cell>
          <cell r="I263">
            <v>7051.2</v>
          </cell>
          <cell r="J263" t="str">
            <v>D</v>
          </cell>
          <cell r="K263" t="str">
            <v>IELECT</v>
          </cell>
          <cell r="L263" t="str">
            <v>LTMS</v>
          </cell>
        </row>
        <row r="264">
          <cell r="A264">
            <v>1292</v>
          </cell>
          <cell r="B264" t="str">
            <v>ROBLES VILLAFUERTE EMILIA JESUS</v>
          </cell>
          <cell r="C264">
            <v>1967</v>
          </cell>
          <cell r="D264">
            <v>1997</v>
          </cell>
          <cell r="E264">
            <v>2250</v>
          </cell>
          <cell r="I264">
            <v>2250</v>
          </cell>
          <cell r="J264" t="str">
            <v>F</v>
          </cell>
          <cell r="K264" t="str">
            <v>SEC</v>
          </cell>
          <cell r="L264" t="str">
            <v>DIVEM</v>
          </cell>
        </row>
        <row r="265">
          <cell r="A265">
            <v>1293</v>
          </cell>
          <cell r="B265" t="str">
            <v xml:space="preserve">INOPE MANTERO CARLOS  </v>
          </cell>
          <cell r="C265">
            <v>1966</v>
          </cell>
          <cell r="D265">
            <v>1997</v>
          </cell>
          <cell r="E265">
            <v>8373.33</v>
          </cell>
          <cell r="F265">
            <v>1674.67</v>
          </cell>
          <cell r="I265">
            <v>10048</v>
          </cell>
          <cell r="J265" t="str">
            <v>D</v>
          </cell>
          <cell r="K265" t="str">
            <v>IELECT</v>
          </cell>
          <cell r="L265" t="str">
            <v>LTMANT</v>
          </cell>
        </row>
        <row r="266">
          <cell r="A266">
            <v>1297</v>
          </cell>
          <cell r="B266" t="str">
            <v>ROSADO SOLIS GONZALO RICARDO</v>
          </cell>
          <cell r="C266">
            <v>1965</v>
          </cell>
          <cell r="D266">
            <v>1997</v>
          </cell>
          <cell r="E266">
            <v>7579</v>
          </cell>
          <cell r="I266">
            <v>7579</v>
          </cell>
          <cell r="J266" t="str">
            <v>H</v>
          </cell>
          <cell r="K266" t="str">
            <v>CTD</v>
          </cell>
          <cell r="L266" t="str">
            <v>DCHOL</v>
          </cell>
        </row>
        <row r="267">
          <cell r="A267">
            <v>1299</v>
          </cell>
          <cell r="B267" t="str">
            <v>OLAVIDE PROAÑO AGUSTIN JOSE</v>
          </cell>
          <cell r="C267">
            <v>1951</v>
          </cell>
          <cell r="D267">
            <v>1997</v>
          </cell>
          <cell r="E267">
            <v>16920</v>
          </cell>
          <cell r="F267">
            <v>4230</v>
          </cell>
          <cell r="I267">
            <v>21150</v>
          </cell>
          <cell r="J267" t="str">
            <v>B</v>
          </cell>
          <cell r="K267" t="str">
            <v>IME</v>
          </cell>
          <cell r="L267" t="str">
            <v>PTOS</v>
          </cell>
        </row>
        <row r="268">
          <cell r="A268">
            <v>1300</v>
          </cell>
          <cell r="B268" t="str">
            <v>VINATEA VILLACORTA LUIS ARTURO</v>
          </cell>
          <cell r="C268">
            <v>1951</v>
          </cell>
          <cell r="D268">
            <v>1997</v>
          </cell>
          <cell r="E268">
            <v>18300</v>
          </cell>
          <cell r="I268">
            <v>18300</v>
          </cell>
          <cell r="J268" t="str">
            <v>A</v>
          </cell>
          <cell r="K268" t="str">
            <v>ICIV</v>
          </cell>
          <cell r="L268" t="str">
            <v>GTEC</v>
          </cell>
        </row>
        <row r="269">
          <cell r="A269">
            <v>1301</v>
          </cell>
          <cell r="B269" t="str">
            <v>PEREZ GAMBOA MARIO ENRIQUE</v>
          </cell>
          <cell r="C269">
            <v>1956</v>
          </cell>
          <cell r="D269">
            <v>1997</v>
          </cell>
          <cell r="E269">
            <v>17625</v>
          </cell>
          <cell r="F269">
            <v>3525</v>
          </cell>
          <cell r="I269">
            <v>21150</v>
          </cell>
          <cell r="J269" t="str">
            <v>B</v>
          </cell>
          <cell r="K269" t="str">
            <v>IELEC</v>
          </cell>
          <cell r="L269" t="str">
            <v>LTMS</v>
          </cell>
        </row>
        <row r="270">
          <cell r="A270">
            <v>1302</v>
          </cell>
          <cell r="B270" t="str">
            <v xml:space="preserve">CUADROS ANTUNEZ DE MAYOLO VICTOR </v>
          </cell>
          <cell r="C270">
            <v>1948</v>
          </cell>
          <cell r="D270">
            <v>1997</v>
          </cell>
          <cell r="E270">
            <v>24930</v>
          </cell>
          <cell r="F270">
            <v>9972</v>
          </cell>
          <cell r="I270">
            <v>34902</v>
          </cell>
          <cell r="J270" t="str">
            <v>A</v>
          </cell>
          <cell r="K270" t="str">
            <v>IMEL</v>
          </cell>
          <cell r="L270" t="str">
            <v>DIVEM</v>
          </cell>
        </row>
        <row r="271">
          <cell r="A271">
            <v>1303</v>
          </cell>
          <cell r="B271" t="str">
            <v>LAZO CANEPA JUAN ENRIQUE</v>
          </cell>
          <cell r="C271">
            <v>1961</v>
          </cell>
          <cell r="D271">
            <v>1997</v>
          </cell>
          <cell r="E271">
            <v>5942.5</v>
          </cell>
          <cell r="F271">
            <v>1188.5</v>
          </cell>
          <cell r="I271">
            <v>7131</v>
          </cell>
          <cell r="J271" t="str">
            <v>E</v>
          </cell>
          <cell r="K271" t="str">
            <v>TCONT</v>
          </cell>
          <cell r="L271" t="str">
            <v>LTCOS</v>
          </cell>
        </row>
        <row r="272">
          <cell r="A272">
            <v>1304</v>
          </cell>
          <cell r="B272" t="str">
            <v>RUIZ YANCUL ROMULO MARCELO</v>
          </cell>
          <cell r="C272">
            <v>1947</v>
          </cell>
          <cell r="D272">
            <v>1999</v>
          </cell>
          <cell r="E272">
            <v>5588</v>
          </cell>
          <cell r="F272">
            <v>1676.4</v>
          </cell>
          <cell r="I272">
            <v>7264.4</v>
          </cell>
          <cell r="J272" t="str">
            <v>s/c</v>
          </cell>
          <cell r="K272" t="str">
            <v>IME</v>
          </cell>
          <cell r="L272" t="str">
            <v>PUQUI</v>
          </cell>
        </row>
        <row r="273">
          <cell r="A273">
            <v>1305</v>
          </cell>
          <cell r="B273" t="str">
            <v>ZEVALLO ROSALES CESAR AUGUSTO</v>
          </cell>
          <cell r="C273">
            <v>1953</v>
          </cell>
          <cell r="D273">
            <v>1997</v>
          </cell>
          <cell r="E273">
            <v>7296</v>
          </cell>
          <cell r="F273">
            <v>1459.2</v>
          </cell>
          <cell r="I273">
            <v>8755.2000000000007</v>
          </cell>
          <cell r="J273" t="str">
            <v>D</v>
          </cell>
          <cell r="K273" t="str">
            <v>IELEC</v>
          </cell>
          <cell r="L273" t="str">
            <v>LTMANT</v>
          </cell>
        </row>
        <row r="274">
          <cell r="A274">
            <v>1307</v>
          </cell>
          <cell r="B274" t="str">
            <v xml:space="preserve">MARTINEZ GUERRA RUBEN </v>
          </cell>
          <cell r="C274">
            <v>1965</v>
          </cell>
          <cell r="D274">
            <v>1997</v>
          </cell>
          <cell r="E274">
            <v>3520</v>
          </cell>
          <cell r="F274">
            <v>704</v>
          </cell>
          <cell r="I274">
            <v>4224</v>
          </cell>
          <cell r="J274" t="str">
            <v>E</v>
          </cell>
          <cell r="K274" t="str">
            <v>CTD</v>
          </cell>
          <cell r="L274" t="str">
            <v>LTANT</v>
          </cell>
        </row>
        <row r="275">
          <cell r="A275">
            <v>1316</v>
          </cell>
          <cell r="B275" t="str">
            <v>CHIPANA VELIZ RONAL SATURNINO</v>
          </cell>
          <cell r="C275">
            <v>1967</v>
          </cell>
          <cell r="D275">
            <v>1999</v>
          </cell>
          <cell r="E275">
            <v>2300</v>
          </cell>
          <cell r="F275">
            <v>460</v>
          </cell>
          <cell r="I275">
            <v>2760</v>
          </cell>
          <cell r="J275" t="str">
            <v>G</v>
          </cell>
          <cell r="K275" t="str">
            <v>CTD</v>
          </cell>
          <cell r="L275" t="str">
            <v>MESS</v>
          </cell>
        </row>
        <row r="276">
          <cell r="A276">
            <v>1320</v>
          </cell>
          <cell r="B276" t="str">
            <v>PORTA LOZANO FABIAN DELANO</v>
          </cell>
          <cell r="C276">
            <v>1949</v>
          </cell>
          <cell r="D276">
            <v>1999</v>
          </cell>
          <cell r="E276">
            <v>3200</v>
          </cell>
          <cell r="F276">
            <v>640</v>
          </cell>
          <cell r="I276">
            <v>3840</v>
          </cell>
          <cell r="J276" t="str">
            <v>F</v>
          </cell>
          <cell r="K276">
            <v>0</v>
          </cell>
          <cell r="L276" t="str">
            <v>MESS</v>
          </cell>
        </row>
        <row r="277">
          <cell r="A277">
            <v>1321</v>
          </cell>
          <cell r="B277" t="str">
            <v>ARROYO BURGA CESAR AUGUSTO</v>
          </cell>
          <cell r="C277">
            <v>1969</v>
          </cell>
          <cell r="D277">
            <v>1999</v>
          </cell>
          <cell r="E277">
            <v>3000</v>
          </cell>
          <cell r="F277">
            <v>600</v>
          </cell>
          <cell r="I277">
            <v>3600</v>
          </cell>
          <cell r="J277" t="str">
            <v>F</v>
          </cell>
          <cell r="K277" t="str">
            <v>ICIV</v>
          </cell>
          <cell r="L277" t="str">
            <v>MESS</v>
          </cell>
        </row>
        <row r="278">
          <cell r="A278">
            <v>1323</v>
          </cell>
          <cell r="B278" t="str">
            <v>SANCHEZ PIMENTEL CESAR FELIX</v>
          </cell>
          <cell r="C278">
            <v>1967</v>
          </cell>
          <cell r="D278">
            <v>1997</v>
          </cell>
          <cell r="E278">
            <v>2938.18</v>
          </cell>
          <cell r="F278">
            <v>881.45</v>
          </cell>
          <cell r="I278">
            <v>3819.63</v>
          </cell>
          <cell r="J278" t="str">
            <v>E</v>
          </cell>
          <cell r="K278" t="str">
            <v>IMEL</v>
          </cell>
          <cell r="L278" t="str">
            <v>LTMS</v>
          </cell>
        </row>
        <row r="279">
          <cell r="A279">
            <v>1326</v>
          </cell>
          <cell r="B279" t="str">
            <v>VARGAS CARRION CARLOS DAVID</v>
          </cell>
          <cell r="C279">
            <v>1958</v>
          </cell>
          <cell r="D279">
            <v>1999</v>
          </cell>
          <cell r="E279">
            <v>4200</v>
          </cell>
          <cell r="F279">
            <v>840</v>
          </cell>
          <cell r="I279">
            <v>5040</v>
          </cell>
          <cell r="J279" t="str">
            <v>F</v>
          </cell>
          <cell r="K279" t="str">
            <v>IME</v>
          </cell>
          <cell r="L279" t="str">
            <v>MESS</v>
          </cell>
        </row>
        <row r="280">
          <cell r="A280">
            <v>1328</v>
          </cell>
          <cell r="B280" t="str">
            <v>JUGO QUIÑONEZ JOSE CARLOS</v>
          </cell>
          <cell r="C280">
            <v>1968</v>
          </cell>
          <cell r="D280">
            <v>1997</v>
          </cell>
          <cell r="E280">
            <v>4255</v>
          </cell>
          <cell r="F280">
            <v>1276</v>
          </cell>
          <cell r="I280">
            <v>5531</v>
          </cell>
          <cell r="J280" t="str">
            <v>E</v>
          </cell>
          <cell r="K280" t="str">
            <v>IELEC</v>
          </cell>
          <cell r="L280" t="str">
            <v>PTOS</v>
          </cell>
        </row>
        <row r="281">
          <cell r="A281">
            <v>1331</v>
          </cell>
          <cell r="B281" t="str">
            <v>CAMPOS GARCIA FRANCISCO ALFREDO</v>
          </cell>
          <cell r="C281">
            <v>1975</v>
          </cell>
          <cell r="D281">
            <v>1997</v>
          </cell>
          <cell r="E281">
            <v>3000</v>
          </cell>
          <cell r="I281">
            <v>3000</v>
          </cell>
          <cell r="J281" t="str">
            <v>E</v>
          </cell>
          <cell r="K281" t="str">
            <v>IMEL</v>
          </cell>
          <cell r="L281" t="str">
            <v>PTOS</v>
          </cell>
        </row>
        <row r="282">
          <cell r="A282">
            <v>1334</v>
          </cell>
          <cell r="B282" t="str">
            <v>TABOADA GOMEZ JUAN PABLO ISRAEL</v>
          </cell>
          <cell r="C282">
            <v>1971</v>
          </cell>
          <cell r="D282">
            <v>1997</v>
          </cell>
          <cell r="E282">
            <v>3745</v>
          </cell>
          <cell r="I282">
            <v>3745</v>
          </cell>
          <cell r="J282" t="str">
            <v>F</v>
          </cell>
          <cell r="K282" t="str">
            <v>IIND</v>
          </cell>
          <cell r="L282" t="str">
            <v>LOG</v>
          </cell>
        </row>
        <row r="283">
          <cell r="A283">
            <v>1335</v>
          </cell>
          <cell r="B283" t="str">
            <v>VERA NORIEGA JAIME ROBERTO</v>
          </cell>
          <cell r="C283">
            <v>1953</v>
          </cell>
          <cell r="D283">
            <v>1997</v>
          </cell>
          <cell r="E283">
            <v>10200</v>
          </cell>
          <cell r="I283">
            <v>10200</v>
          </cell>
          <cell r="J283" t="str">
            <v>D</v>
          </cell>
          <cell r="K283" t="str">
            <v>DIB</v>
          </cell>
          <cell r="L283" t="str">
            <v>DIVEM</v>
          </cell>
        </row>
        <row r="284">
          <cell r="A284">
            <v>1343</v>
          </cell>
          <cell r="B284" t="str">
            <v>ZAGAZETA ARZUBIALDE CARLOS SOLON</v>
          </cell>
          <cell r="C284">
            <v>1967</v>
          </cell>
          <cell r="D284">
            <v>1999</v>
          </cell>
          <cell r="E284">
            <v>2500</v>
          </cell>
          <cell r="F284">
            <v>500</v>
          </cell>
          <cell r="I284">
            <v>3000</v>
          </cell>
          <cell r="J284" t="str">
            <v>G</v>
          </cell>
          <cell r="K284" t="str">
            <v>IADM</v>
          </cell>
          <cell r="L284" t="str">
            <v>LTMS</v>
          </cell>
        </row>
        <row r="285">
          <cell r="A285">
            <v>1349</v>
          </cell>
          <cell r="B285" t="str">
            <v xml:space="preserve">VALDIVIA VOTO-BERNALES SEBASTIAN  </v>
          </cell>
          <cell r="C285">
            <v>1971</v>
          </cell>
          <cell r="D285">
            <v>1997</v>
          </cell>
          <cell r="E285">
            <v>2990</v>
          </cell>
          <cell r="F285">
            <v>449</v>
          </cell>
          <cell r="I285">
            <v>3439</v>
          </cell>
          <cell r="J285" t="str">
            <v>E</v>
          </cell>
          <cell r="K285" t="str">
            <v>ADM</v>
          </cell>
          <cell r="L285" t="str">
            <v>MARR</v>
          </cell>
        </row>
        <row r="286">
          <cell r="A286">
            <v>1357</v>
          </cell>
          <cell r="B286" t="str">
            <v xml:space="preserve">BAILON ARIAS ROGELIO  </v>
          </cell>
          <cell r="C286">
            <v>1971</v>
          </cell>
          <cell r="D286">
            <v>1997</v>
          </cell>
          <cell r="E286">
            <v>795</v>
          </cell>
          <cell r="I286">
            <v>795</v>
          </cell>
          <cell r="J286" t="str">
            <v>G</v>
          </cell>
          <cell r="K286" t="str">
            <v>PRG</v>
          </cell>
          <cell r="L286" t="str">
            <v>LIQUID</v>
          </cell>
        </row>
        <row r="287">
          <cell r="A287">
            <v>1358</v>
          </cell>
          <cell r="B287" t="str">
            <v>LOZA MOSCOSO HENRY MARIANO</v>
          </cell>
          <cell r="C287">
            <v>1971</v>
          </cell>
          <cell r="D287">
            <v>1998</v>
          </cell>
          <cell r="E287">
            <v>1733.33</v>
          </cell>
          <cell r="F287">
            <v>346.67</v>
          </cell>
          <cell r="I287">
            <v>2080</v>
          </cell>
          <cell r="J287" t="str">
            <v>G</v>
          </cell>
          <cell r="K287" t="str">
            <v>ISIS</v>
          </cell>
          <cell r="L287" t="str">
            <v>CHIN</v>
          </cell>
        </row>
        <row r="288">
          <cell r="A288">
            <v>1362</v>
          </cell>
          <cell r="B288" t="str">
            <v>GOICOCHEA CHUZON JUAN ANTONIO</v>
          </cell>
          <cell r="C288">
            <v>1954</v>
          </cell>
          <cell r="D288">
            <v>1997</v>
          </cell>
          <cell r="E288">
            <v>2307</v>
          </cell>
          <cell r="F288">
            <v>692.3</v>
          </cell>
          <cell r="I288">
            <v>2999.3</v>
          </cell>
          <cell r="J288" t="str">
            <v>G</v>
          </cell>
          <cell r="K288" t="str">
            <v>TOP</v>
          </cell>
          <cell r="L288" t="str">
            <v>ANTM</v>
          </cell>
        </row>
        <row r="289">
          <cell r="A289">
            <v>1367</v>
          </cell>
          <cell r="B289" t="str">
            <v xml:space="preserve">MONTERO ALVAREZ CALDERO SANDRA  </v>
          </cell>
          <cell r="C289">
            <v>1969</v>
          </cell>
          <cell r="D289">
            <v>1997</v>
          </cell>
          <cell r="E289">
            <v>1680</v>
          </cell>
          <cell r="I289">
            <v>1680</v>
          </cell>
          <cell r="J289" t="str">
            <v>F</v>
          </cell>
          <cell r="K289" t="str">
            <v>PSI</v>
          </cell>
          <cell r="L289" t="str">
            <v>RRHH</v>
          </cell>
        </row>
        <row r="290">
          <cell r="A290">
            <v>1369</v>
          </cell>
          <cell r="B290" t="str">
            <v>OLAVIDE PROAÑO RAFAEL JOSE</v>
          </cell>
          <cell r="C290">
            <v>1954</v>
          </cell>
          <cell r="D290">
            <v>1998</v>
          </cell>
          <cell r="E290">
            <v>3360</v>
          </cell>
          <cell r="F290">
            <v>840</v>
          </cell>
          <cell r="I290">
            <v>4200</v>
          </cell>
          <cell r="J290" t="str">
            <v>E</v>
          </cell>
          <cell r="K290" t="str">
            <v>TADM</v>
          </cell>
          <cell r="L290" t="str">
            <v>LTCOS</v>
          </cell>
        </row>
        <row r="291">
          <cell r="A291">
            <v>1370</v>
          </cell>
          <cell r="B291" t="str">
            <v xml:space="preserve">MARQUIÑO QUEZADA RONALD  </v>
          </cell>
          <cell r="C291">
            <v>1972</v>
          </cell>
          <cell r="D291">
            <v>1998</v>
          </cell>
          <cell r="E291">
            <v>1000</v>
          </cell>
          <cell r="F291">
            <v>200</v>
          </cell>
          <cell r="I291">
            <v>1200</v>
          </cell>
          <cell r="J291" t="str">
            <v>H</v>
          </cell>
          <cell r="K291" t="str">
            <v>MEC</v>
          </cell>
          <cell r="L291" t="str">
            <v>LIQUID</v>
          </cell>
        </row>
        <row r="292">
          <cell r="A292">
            <v>1371</v>
          </cell>
          <cell r="B292" t="str">
            <v>DE LA CRUZ OBREGON JORGE CARLOS</v>
          </cell>
          <cell r="C292">
            <v>1956</v>
          </cell>
          <cell r="D292">
            <v>1998</v>
          </cell>
          <cell r="E292">
            <v>2805.55</v>
          </cell>
          <cell r="F292">
            <v>729.45</v>
          </cell>
          <cell r="I292">
            <v>3535</v>
          </cell>
          <cell r="J292" t="str">
            <v>H</v>
          </cell>
          <cell r="K292" t="str">
            <v>MEC</v>
          </cell>
          <cell r="L292" t="str">
            <v>BROC</v>
          </cell>
        </row>
        <row r="293">
          <cell r="A293">
            <v>1377</v>
          </cell>
          <cell r="B293" t="str">
            <v>PRIETTO RUBIO VICTOR ALBERTO</v>
          </cell>
          <cell r="C293">
            <v>1948</v>
          </cell>
          <cell r="D293">
            <v>1999</v>
          </cell>
          <cell r="E293">
            <v>1800</v>
          </cell>
          <cell r="I293">
            <v>1800</v>
          </cell>
          <cell r="J293" t="str">
            <v>G</v>
          </cell>
          <cell r="K293" t="str">
            <v>CTD</v>
          </cell>
          <cell r="L293" t="str">
            <v>SED 16</v>
          </cell>
        </row>
        <row r="294">
          <cell r="A294">
            <v>1380</v>
          </cell>
          <cell r="B294" t="str">
            <v>LOVATON MUJICA MIGUEL ANGEL</v>
          </cell>
          <cell r="C294">
            <v>1945</v>
          </cell>
          <cell r="D294">
            <v>1999</v>
          </cell>
          <cell r="E294">
            <v>9000</v>
          </cell>
          <cell r="I294">
            <v>9000</v>
          </cell>
          <cell r="J294" t="str">
            <v>D</v>
          </cell>
          <cell r="K294" t="str">
            <v>ICIV</v>
          </cell>
          <cell r="L294" t="str">
            <v>BROC</v>
          </cell>
        </row>
        <row r="295">
          <cell r="A295">
            <v>1384</v>
          </cell>
          <cell r="B295" t="str">
            <v>BEINGOLEA MORE JUSTO FERNANDO</v>
          </cell>
          <cell r="C295">
            <v>1964</v>
          </cell>
          <cell r="D295">
            <v>1998</v>
          </cell>
          <cell r="E295">
            <v>3500</v>
          </cell>
          <cell r="I295">
            <v>3500</v>
          </cell>
          <cell r="J295" t="str">
            <v>F</v>
          </cell>
          <cell r="K295" t="str">
            <v>ICIV</v>
          </cell>
          <cell r="L295" t="str">
            <v>LIQUID</v>
          </cell>
        </row>
        <row r="296">
          <cell r="A296">
            <v>1390</v>
          </cell>
          <cell r="B296" t="str">
            <v>NAVARRO ARIZOLA MARCO ANTONIO</v>
          </cell>
          <cell r="C296">
            <v>1968</v>
          </cell>
          <cell r="D296">
            <v>2000</v>
          </cell>
          <cell r="E296">
            <v>3500</v>
          </cell>
          <cell r="F296">
            <v>1225</v>
          </cell>
          <cell r="I296">
            <v>4725</v>
          </cell>
          <cell r="J296" t="str">
            <v>G</v>
          </cell>
          <cell r="K296" t="str">
            <v>TSEG</v>
          </cell>
          <cell r="L296" t="str">
            <v>ACHA</v>
          </cell>
        </row>
        <row r="297">
          <cell r="A297">
            <v>1391</v>
          </cell>
          <cell r="B297" t="str">
            <v>RISSO DELGADO GERONIMO JOSE</v>
          </cell>
          <cell r="C297">
            <v>1969</v>
          </cell>
          <cell r="D297">
            <v>1998</v>
          </cell>
          <cell r="E297">
            <v>2000</v>
          </cell>
          <cell r="I297">
            <v>2000</v>
          </cell>
          <cell r="J297" t="str">
            <v>E</v>
          </cell>
          <cell r="K297" t="str">
            <v>IIND</v>
          </cell>
          <cell r="L297" t="str">
            <v>SEDMT</v>
          </cell>
        </row>
        <row r="298">
          <cell r="A298">
            <v>1392</v>
          </cell>
          <cell r="B298" t="str">
            <v>DUFFOO ORDEIX PABLO JOSE</v>
          </cell>
          <cell r="C298">
            <v>1970</v>
          </cell>
          <cell r="D298">
            <v>1998</v>
          </cell>
          <cell r="E298">
            <v>3000</v>
          </cell>
          <cell r="F298">
            <v>900</v>
          </cell>
          <cell r="I298">
            <v>3900</v>
          </cell>
          <cell r="J298" t="str">
            <v>H</v>
          </cell>
          <cell r="K298" t="str">
            <v>MMAQ</v>
          </cell>
          <cell r="L298" t="str">
            <v>BROC</v>
          </cell>
        </row>
        <row r="299">
          <cell r="A299">
            <v>1395</v>
          </cell>
          <cell r="B299" t="str">
            <v>VARGAS MACHUCA RIOS CESAR AUGUSTO</v>
          </cell>
          <cell r="C299">
            <v>1968</v>
          </cell>
          <cell r="D299">
            <v>1998</v>
          </cell>
          <cell r="E299">
            <v>2500</v>
          </cell>
          <cell r="F299">
            <v>750</v>
          </cell>
          <cell r="I299">
            <v>3250</v>
          </cell>
          <cell r="J299" t="str">
            <v>G</v>
          </cell>
          <cell r="K299" t="str">
            <v>IMEL</v>
          </cell>
          <cell r="L299" t="str">
            <v>LTMS</v>
          </cell>
        </row>
        <row r="300">
          <cell r="A300">
            <v>1403</v>
          </cell>
          <cell r="B300" t="str">
            <v>LA PLATA ZAPATA FRANCISCO JAVIER</v>
          </cell>
          <cell r="C300">
            <v>1949</v>
          </cell>
          <cell r="D300">
            <v>1998</v>
          </cell>
          <cell r="E300">
            <v>2000</v>
          </cell>
          <cell r="F300">
            <v>1000</v>
          </cell>
          <cell r="I300">
            <v>3000</v>
          </cell>
          <cell r="J300" t="str">
            <v>F</v>
          </cell>
          <cell r="K300" t="str">
            <v>TELC</v>
          </cell>
          <cell r="L300" t="str">
            <v>LTMS</v>
          </cell>
        </row>
        <row r="301">
          <cell r="A301">
            <v>1404</v>
          </cell>
          <cell r="B301" t="str">
            <v>LAZO CANEPA CARLOS FERNANDO</v>
          </cell>
          <cell r="C301">
            <v>1968</v>
          </cell>
          <cell r="D301">
            <v>1998</v>
          </cell>
          <cell r="E301">
            <v>2300</v>
          </cell>
          <cell r="F301">
            <v>690</v>
          </cell>
          <cell r="I301">
            <v>2990</v>
          </cell>
          <cell r="J301" t="str">
            <v>G</v>
          </cell>
          <cell r="K301" t="str">
            <v>TADM</v>
          </cell>
          <cell r="L301" t="str">
            <v>LTMS</v>
          </cell>
        </row>
        <row r="302">
          <cell r="A302">
            <v>1405</v>
          </cell>
          <cell r="B302" t="str">
            <v>VICTORIA PALACIO GERMAN ERNESTO</v>
          </cell>
          <cell r="C302">
            <v>1971</v>
          </cell>
          <cell r="D302">
            <v>1998</v>
          </cell>
          <cell r="E302">
            <v>1700</v>
          </cell>
          <cell r="I302">
            <v>1700</v>
          </cell>
          <cell r="J302" t="str">
            <v>G</v>
          </cell>
          <cell r="K302" t="str">
            <v>ARQ</v>
          </cell>
          <cell r="L302" t="str">
            <v>LIQUID</v>
          </cell>
        </row>
        <row r="303">
          <cell r="A303">
            <v>1407</v>
          </cell>
          <cell r="B303" t="str">
            <v>AGUINAGA CASTRO NATALIA OTILIA</v>
          </cell>
          <cell r="C303">
            <v>1972</v>
          </cell>
          <cell r="D303">
            <v>1998</v>
          </cell>
          <cell r="E303">
            <v>2000</v>
          </cell>
          <cell r="I303">
            <v>2000</v>
          </cell>
          <cell r="J303" t="str">
            <v>G</v>
          </cell>
          <cell r="K303" t="str">
            <v>ICIV</v>
          </cell>
          <cell r="L303" t="str">
            <v>LIQUID</v>
          </cell>
        </row>
        <row r="304">
          <cell r="A304">
            <v>1412</v>
          </cell>
          <cell r="B304" t="str">
            <v xml:space="preserve">RAMOS FLORES FRANKO  </v>
          </cell>
          <cell r="C304">
            <v>1964</v>
          </cell>
          <cell r="D304">
            <v>1998</v>
          </cell>
          <cell r="E304">
            <v>2000</v>
          </cell>
          <cell r="F304">
            <v>600</v>
          </cell>
          <cell r="I304">
            <v>2600</v>
          </cell>
          <cell r="J304" t="str">
            <v>F</v>
          </cell>
          <cell r="K304" t="str">
            <v>TOP</v>
          </cell>
          <cell r="L304" t="str">
            <v>LIQUID</v>
          </cell>
        </row>
        <row r="305">
          <cell r="A305">
            <v>1418</v>
          </cell>
          <cell r="B305" t="str">
            <v>ESTRADA CUNYA EDY ALBERTO</v>
          </cell>
          <cell r="C305">
            <v>1971</v>
          </cell>
          <cell r="D305">
            <v>1998</v>
          </cell>
          <cell r="E305">
            <v>2000</v>
          </cell>
          <cell r="I305">
            <v>2000</v>
          </cell>
          <cell r="J305" t="str">
            <v>G</v>
          </cell>
          <cell r="K305" t="str">
            <v>PRG</v>
          </cell>
          <cell r="L305" t="str">
            <v>CEQSV</v>
          </cell>
        </row>
        <row r="306">
          <cell r="A306">
            <v>1425</v>
          </cell>
          <cell r="B306" t="str">
            <v>DIAZ QUISPE JESUS ANTONIO</v>
          </cell>
          <cell r="C306">
            <v>1969</v>
          </cell>
          <cell r="D306">
            <v>1999</v>
          </cell>
          <cell r="E306">
            <v>3000</v>
          </cell>
          <cell r="I306">
            <v>3000</v>
          </cell>
          <cell r="J306" t="str">
            <v>F</v>
          </cell>
          <cell r="K306" t="str">
            <v>IMEL</v>
          </cell>
          <cell r="L306" t="str">
            <v>PTOS</v>
          </cell>
        </row>
        <row r="307">
          <cell r="A307">
            <v>1429</v>
          </cell>
          <cell r="B307" t="str">
            <v>GARCIA SILUPU VICTOR HUGO</v>
          </cell>
          <cell r="C307">
            <v>1959</v>
          </cell>
          <cell r="D307">
            <v>1999</v>
          </cell>
          <cell r="E307">
            <v>1300</v>
          </cell>
          <cell r="I307">
            <v>1300</v>
          </cell>
          <cell r="J307" t="str">
            <v>G</v>
          </cell>
          <cell r="K307" t="str">
            <v>TADM</v>
          </cell>
          <cell r="L307" t="str">
            <v>ADMOP</v>
          </cell>
        </row>
        <row r="308">
          <cell r="A308">
            <v>1430</v>
          </cell>
          <cell r="B308" t="str">
            <v>VIDAL TORRES NAPOLEON ALEJANDRO</v>
          </cell>
          <cell r="C308">
            <v>1953</v>
          </cell>
          <cell r="D308">
            <v>1998</v>
          </cell>
          <cell r="E308">
            <v>8181.82</v>
          </cell>
          <cell r="F308">
            <v>818.18</v>
          </cell>
          <cell r="I308">
            <v>9000</v>
          </cell>
          <cell r="J308" t="str">
            <v>D</v>
          </cell>
          <cell r="K308" t="str">
            <v>IMEL</v>
          </cell>
          <cell r="L308" t="str">
            <v>MARR</v>
          </cell>
        </row>
        <row r="309">
          <cell r="A309">
            <v>1436</v>
          </cell>
          <cell r="B309" t="str">
            <v>CORTEZ CORONEL TOMAS ERNESTO</v>
          </cell>
          <cell r="C309">
            <v>1956</v>
          </cell>
          <cell r="D309">
            <v>1998</v>
          </cell>
          <cell r="E309">
            <v>1500</v>
          </cell>
          <cell r="F309">
            <v>500</v>
          </cell>
          <cell r="I309">
            <v>2000</v>
          </cell>
          <cell r="J309" t="str">
            <v>H</v>
          </cell>
          <cell r="K309" t="str">
            <v>DIB</v>
          </cell>
          <cell r="L309" t="str">
            <v>ANTM</v>
          </cell>
        </row>
        <row r="310">
          <cell r="A310">
            <v>1437</v>
          </cell>
          <cell r="B310" t="str">
            <v>RAMOS COAQUIRA LEONCIO TEODORO</v>
          </cell>
          <cell r="C310">
            <v>1961</v>
          </cell>
          <cell r="D310">
            <v>1998</v>
          </cell>
          <cell r="E310">
            <v>923</v>
          </cell>
          <cell r="F310">
            <v>277</v>
          </cell>
          <cell r="I310">
            <v>1200</v>
          </cell>
          <cell r="J310" t="str">
            <v>G</v>
          </cell>
          <cell r="K310">
            <v>0</v>
          </cell>
          <cell r="L310" t="str">
            <v>LOG</v>
          </cell>
        </row>
        <row r="311">
          <cell r="A311">
            <v>1441</v>
          </cell>
          <cell r="B311" t="str">
            <v>MENDOZA WOODMAN JORGE EDUARDO</v>
          </cell>
          <cell r="C311">
            <v>1965</v>
          </cell>
          <cell r="D311">
            <v>1998</v>
          </cell>
          <cell r="E311">
            <v>10250</v>
          </cell>
          <cell r="I311">
            <v>10250</v>
          </cell>
          <cell r="J311" t="str">
            <v>C</v>
          </cell>
          <cell r="K311" t="str">
            <v>IIND</v>
          </cell>
          <cell r="L311" t="str">
            <v>FIN</v>
          </cell>
        </row>
        <row r="312">
          <cell r="A312">
            <v>1445</v>
          </cell>
          <cell r="B312" t="str">
            <v>CUERVAS AMOROS MARIA CECILIA</v>
          </cell>
          <cell r="C312">
            <v>1971</v>
          </cell>
          <cell r="D312">
            <v>1998</v>
          </cell>
          <cell r="E312">
            <v>2130</v>
          </cell>
          <cell r="I312">
            <v>2130</v>
          </cell>
          <cell r="J312" t="str">
            <v>F</v>
          </cell>
          <cell r="K312" t="str">
            <v>SEC</v>
          </cell>
          <cell r="L312" t="str">
            <v>CONCES</v>
          </cell>
        </row>
        <row r="313">
          <cell r="A313">
            <v>1461</v>
          </cell>
          <cell r="B313" t="str">
            <v>JIMENEZ MONTENEGRO VICTOR ALEJANDR</v>
          </cell>
          <cell r="C313">
            <v>1961</v>
          </cell>
          <cell r="D313">
            <v>1998</v>
          </cell>
          <cell r="E313">
            <v>6334.61</v>
          </cell>
          <cell r="F313">
            <v>1900.39</v>
          </cell>
          <cell r="I313">
            <v>8235</v>
          </cell>
          <cell r="J313" t="str">
            <v>D</v>
          </cell>
          <cell r="K313" t="str">
            <v>IIND</v>
          </cell>
          <cell r="L313" t="str">
            <v>ACHA</v>
          </cell>
        </row>
        <row r="314">
          <cell r="A314">
            <v>1463</v>
          </cell>
          <cell r="B314" t="str">
            <v>GARCIA ENCISO DINO STEVENS</v>
          </cell>
          <cell r="C314">
            <v>1971</v>
          </cell>
          <cell r="D314">
            <v>1998</v>
          </cell>
          <cell r="E314">
            <v>700</v>
          </cell>
          <cell r="I314">
            <v>700</v>
          </cell>
          <cell r="J314" t="str">
            <v>G</v>
          </cell>
          <cell r="K314">
            <v>0</v>
          </cell>
          <cell r="L314" t="str">
            <v>PTOS</v>
          </cell>
        </row>
        <row r="315">
          <cell r="A315">
            <v>1465</v>
          </cell>
          <cell r="B315" t="str">
            <v>ANTAYHUA BARZOLA ARTURO FRANCISCO</v>
          </cell>
          <cell r="C315">
            <v>1962</v>
          </cell>
          <cell r="D315">
            <v>1998</v>
          </cell>
          <cell r="E315">
            <v>3500</v>
          </cell>
          <cell r="I315">
            <v>3500</v>
          </cell>
          <cell r="J315" t="str">
            <v>F</v>
          </cell>
          <cell r="K315" t="str">
            <v>IMIN</v>
          </cell>
          <cell r="L315" t="str">
            <v>BROC</v>
          </cell>
        </row>
        <row r="316">
          <cell r="A316">
            <v>1468</v>
          </cell>
          <cell r="B316" t="str">
            <v>FIERRO RIVERA ELEAZAR GENNER</v>
          </cell>
          <cell r="C316">
            <v>1959</v>
          </cell>
          <cell r="D316">
            <v>1999</v>
          </cell>
          <cell r="E316">
            <v>2750</v>
          </cell>
          <cell r="F316">
            <v>750</v>
          </cell>
          <cell r="I316">
            <v>3500</v>
          </cell>
          <cell r="J316" t="str">
            <v>F</v>
          </cell>
          <cell r="K316" t="str">
            <v>IMIN</v>
          </cell>
          <cell r="L316" t="str">
            <v>ANTM</v>
          </cell>
        </row>
        <row r="317">
          <cell r="A317">
            <v>1470</v>
          </cell>
          <cell r="B317" t="str">
            <v>YANTAS BARRERA JORGE DIONICIO</v>
          </cell>
          <cell r="C317">
            <v>1946</v>
          </cell>
          <cell r="D317">
            <v>1998</v>
          </cell>
          <cell r="E317">
            <v>2500</v>
          </cell>
          <cell r="F317">
            <v>625</v>
          </cell>
          <cell r="I317">
            <v>3125</v>
          </cell>
          <cell r="J317" t="str">
            <v>G</v>
          </cell>
          <cell r="K317" t="str">
            <v>TVOL</v>
          </cell>
          <cell r="L317" t="str">
            <v>BROC</v>
          </cell>
        </row>
        <row r="318">
          <cell r="A318">
            <v>1471</v>
          </cell>
          <cell r="B318" t="str">
            <v>TARQUI DEL CASTILLO JULIO FELICIANO</v>
          </cell>
          <cell r="C318">
            <v>1975</v>
          </cell>
          <cell r="D318">
            <v>1998</v>
          </cell>
          <cell r="E318">
            <v>2300</v>
          </cell>
          <cell r="I318">
            <v>2300</v>
          </cell>
          <cell r="J318" t="str">
            <v>F</v>
          </cell>
          <cell r="K318" t="str">
            <v>CTD</v>
          </cell>
          <cell r="L318" t="str">
            <v>CTB</v>
          </cell>
        </row>
        <row r="319">
          <cell r="A319">
            <v>1472</v>
          </cell>
          <cell r="B319" t="str">
            <v>OLIVERA SANCHEZ MIGUEL ANGEL</v>
          </cell>
          <cell r="C319">
            <v>1968</v>
          </cell>
          <cell r="D319">
            <v>1998</v>
          </cell>
          <cell r="E319">
            <v>2000</v>
          </cell>
          <cell r="I319">
            <v>2000</v>
          </cell>
          <cell r="J319" t="str">
            <v>G</v>
          </cell>
          <cell r="K319" t="str">
            <v>ICIV</v>
          </cell>
          <cell r="L319" t="str">
            <v>PTOS</v>
          </cell>
        </row>
        <row r="320">
          <cell r="A320">
            <v>1474</v>
          </cell>
          <cell r="B320" t="str">
            <v>ZAMORA CHAVEZ DOMIDEL EDUARDO</v>
          </cell>
          <cell r="C320">
            <v>1968</v>
          </cell>
          <cell r="D320">
            <v>1999</v>
          </cell>
          <cell r="E320">
            <v>3000</v>
          </cell>
          <cell r="F320">
            <v>900</v>
          </cell>
          <cell r="I320">
            <v>3900</v>
          </cell>
          <cell r="J320" t="str">
            <v>F</v>
          </cell>
          <cell r="K320" t="str">
            <v>IME</v>
          </cell>
          <cell r="L320" t="str">
            <v>OXI99</v>
          </cell>
        </row>
        <row r="321">
          <cell r="A321">
            <v>1476</v>
          </cell>
          <cell r="B321" t="str">
            <v xml:space="preserve">CIRIANI FUSTER GABRIEL  </v>
          </cell>
          <cell r="C321">
            <v>1969</v>
          </cell>
          <cell r="D321">
            <v>1998</v>
          </cell>
          <cell r="E321">
            <v>3043.48</v>
          </cell>
          <cell r="F321">
            <v>456.52</v>
          </cell>
          <cell r="I321">
            <v>3500</v>
          </cell>
          <cell r="J321" t="str">
            <v>E</v>
          </cell>
          <cell r="K321" t="str">
            <v>ADM</v>
          </cell>
          <cell r="L321" t="str">
            <v>SED7</v>
          </cell>
        </row>
        <row r="322">
          <cell r="A322">
            <v>1481</v>
          </cell>
          <cell r="B322" t="str">
            <v>CALLE LOPEZ JOSE VICENTE</v>
          </cell>
          <cell r="C322">
            <v>1973</v>
          </cell>
          <cell r="D322">
            <v>1998</v>
          </cell>
          <cell r="E322">
            <v>2000</v>
          </cell>
          <cell r="F322">
            <v>200</v>
          </cell>
          <cell r="I322">
            <v>2200</v>
          </cell>
          <cell r="J322" t="str">
            <v>F</v>
          </cell>
          <cell r="K322" t="str">
            <v>CTD</v>
          </cell>
          <cell r="L322" t="str">
            <v>LATRIP</v>
          </cell>
        </row>
        <row r="323">
          <cell r="A323">
            <v>1483</v>
          </cell>
          <cell r="B323" t="str">
            <v>BILBAO PAREDES PEDRO ALEJANDRO</v>
          </cell>
          <cell r="C323">
            <v>1933</v>
          </cell>
          <cell r="D323">
            <v>1998</v>
          </cell>
          <cell r="E323">
            <v>2000</v>
          </cell>
          <cell r="F323">
            <v>500</v>
          </cell>
          <cell r="I323">
            <v>2500</v>
          </cell>
          <cell r="J323" t="str">
            <v>F</v>
          </cell>
          <cell r="K323" t="str">
            <v>TOP</v>
          </cell>
          <cell r="L323" t="str">
            <v>BROC</v>
          </cell>
        </row>
        <row r="324">
          <cell r="A324">
            <v>1484</v>
          </cell>
          <cell r="B324" t="str">
            <v>CUBA CABEZAS AUGUSTO ERNESTO</v>
          </cell>
          <cell r="C324">
            <v>1971</v>
          </cell>
          <cell r="D324">
            <v>1998</v>
          </cell>
          <cell r="E324">
            <v>8409</v>
          </cell>
          <cell r="F324">
            <v>841</v>
          </cell>
          <cell r="I324">
            <v>9250</v>
          </cell>
          <cell r="J324" t="str">
            <v>E</v>
          </cell>
          <cell r="K324" t="str">
            <v>ICIV</v>
          </cell>
          <cell r="L324" t="str">
            <v>LIQUID</v>
          </cell>
        </row>
        <row r="325">
          <cell r="A325">
            <v>1485</v>
          </cell>
          <cell r="B325" t="str">
            <v>ZORRILLA DIAZ JORGE ANTONIO</v>
          </cell>
          <cell r="C325">
            <v>1969</v>
          </cell>
          <cell r="D325">
            <v>1998</v>
          </cell>
          <cell r="E325">
            <v>2500</v>
          </cell>
          <cell r="I325">
            <v>2500</v>
          </cell>
          <cell r="J325" t="str">
            <v>F</v>
          </cell>
          <cell r="K325" t="str">
            <v>ICIV</v>
          </cell>
          <cell r="L325" t="str">
            <v>SED 16</v>
          </cell>
        </row>
        <row r="326">
          <cell r="A326">
            <v>1486</v>
          </cell>
          <cell r="B326" t="str">
            <v>COTTLE VAN OORDT LAURENCE JAMES</v>
          </cell>
          <cell r="C326">
            <v>1952</v>
          </cell>
          <cell r="D326">
            <v>1998</v>
          </cell>
          <cell r="E326">
            <v>15970</v>
          </cell>
          <cell r="I326">
            <v>15970</v>
          </cell>
          <cell r="J326" t="str">
            <v>C</v>
          </cell>
          <cell r="K326" t="str">
            <v>ARQ</v>
          </cell>
          <cell r="L326" t="str">
            <v>GMI</v>
          </cell>
        </row>
        <row r="327">
          <cell r="A327">
            <v>1487</v>
          </cell>
          <cell r="B327" t="str">
            <v>DEL AGUILA QUISPE CARLOS ENRIQUE</v>
          </cell>
          <cell r="C327">
            <v>1974</v>
          </cell>
          <cell r="D327">
            <v>1998</v>
          </cell>
          <cell r="E327">
            <v>550</v>
          </cell>
          <cell r="I327">
            <v>550</v>
          </cell>
          <cell r="J327" t="str">
            <v>G</v>
          </cell>
          <cell r="K327" t="str">
            <v>MEC</v>
          </cell>
          <cell r="L327" t="str">
            <v>CEQAL</v>
          </cell>
        </row>
        <row r="328">
          <cell r="A328">
            <v>1490</v>
          </cell>
          <cell r="B328" t="str">
            <v>FURBRINGER DUMAS JEAN MARIE</v>
          </cell>
          <cell r="C328">
            <v>1963</v>
          </cell>
          <cell r="D328">
            <v>1998</v>
          </cell>
          <cell r="E328">
            <v>11300</v>
          </cell>
          <cell r="I328">
            <v>11300</v>
          </cell>
          <cell r="J328" t="str">
            <v>H</v>
          </cell>
          <cell r="K328" t="str">
            <v>IFIS</v>
          </cell>
          <cell r="L328" t="str">
            <v>CCA</v>
          </cell>
        </row>
        <row r="329">
          <cell r="A329">
            <v>1491</v>
          </cell>
          <cell r="B329" t="str">
            <v>CUELLAR MARTINEZ ANTONIO FERNANDO</v>
          </cell>
          <cell r="C329">
            <v>1953</v>
          </cell>
          <cell r="D329">
            <v>1998</v>
          </cell>
          <cell r="E329">
            <v>7800</v>
          </cell>
          <cell r="I329">
            <v>7800</v>
          </cell>
          <cell r="J329" t="str">
            <v>D</v>
          </cell>
          <cell r="K329" t="str">
            <v>IME</v>
          </cell>
          <cell r="L329" t="str">
            <v>CEQMT</v>
          </cell>
        </row>
        <row r="330">
          <cell r="A330">
            <v>1492</v>
          </cell>
          <cell r="B330" t="str">
            <v xml:space="preserve">SOLIS ARROYO ORESTES </v>
          </cell>
          <cell r="C330">
            <v>1943</v>
          </cell>
          <cell r="D330">
            <v>1998</v>
          </cell>
          <cell r="E330">
            <v>3645.84</v>
          </cell>
          <cell r="F330">
            <v>729.16</v>
          </cell>
          <cell r="I330">
            <v>4375</v>
          </cell>
          <cell r="J330" t="str">
            <v>E</v>
          </cell>
          <cell r="K330" t="str">
            <v>CTD</v>
          </cell>
          <cell r="L330" t="str">
            <v>LTCOS</v>
          </cell>
        </row>
        <row r="331">
          <cell r="A331">
            <v>1497</v>
          </cell>
          <cell r="B331" t="str">
            <v>NIMA NIMA JOSE BERNARDO</v>
          </cell>
          <cell r="C331">
            <v>1974</v>
          </cell>
          <cell r="D331">
            <v>1998</v>
          </cell>
          <cell r="E331">
            <v>2500</v>
          </cell>
          <cell r="F331">
            <v>500</v>
          </cell>
          <cell r="I331">
            <v>3000</v>
          </cell>
          <cell r="J331" t="str">
            <v>G</v>
          </cell>
          <cell r="K331" t="str">
            <v>ICIV</v>
          </cell>
          <cell r="L331" t="str">
            <v>PUQUI</v>
          </cell>
        </row>
        <row r="332">
          <cell r="A332">
            <v>1499</v>
          </cell>
          <cell r="B332" t="str">
            <v>PINEDO DIAZ MIGUEL ALONSO</v>
          </cell>
          <cell r="C332">
            <v>1961</v>
          </cell>
          <cell r="D332">
            <v>1998</v>
          </cell>
          <cell r="E332">
            <v>1692.31</v>
          </cell>
          <cell r="F332">
            <v>592.30999999999995</v>
          </cell>
          <cell r="I332">
            <v>2284.62</v>
          </cell>
          <cell r="J332" t="str">
            <v>H</v>
          </cell>
          <cell r="K332" t="str">
            <v>TSIS</v>
          </cell>
          <cell r="L332" t="str">
            <v>LIQUID</v>
          </cell>
        </row>
        <row r="333">
          <cell r="A333">
            <v>1500</v>
          </cell>
          <cell r="B333" t="str">
            <v>BECERRA CAMARA MARCO ANTONIO</v>
          </cell>
          <cell r="C333">
            <v>1968</v>
          </cell>
          <cell r="D333">
            <v>1998</v>
          </cell>
          <cell r="E333">
            <v>5400</v>
          </cell>
          <cell r="F333">
            <v>810</v>
          </cell>
          <cell r="I333">
            <v>6210</v>
          </cell>
          <cell r="J333" t="str">
            <v>E</v>
          </cell>
          <cell r="K333" t="str">
            <v>ICIV</v>
          </cell>
          <cell r="L333" t="str">
            <v>SED7</v>
          </cell>
        </row>
        <row r="334">
          <cell r="A334">
            <v>1503</v>
          </cell>
          <cell r="B334" t="str">
            <v>NUÑEZ RAMIS JUANA MARIA</v>
          </cell>
          <cell r="C334">
            <v>1952</v>
          </cell>
          <cell r="D334">
            <v>1998</v>
          </cell>
          <cell r="E334">
            <v>8400</v>
          </cell>
          <cell r="I334">
            <v>8400</v>
          </cell>
          <cell r="J334" t="str">
            <v>D</v>
          </cell>
          <cell r="K334" t="str">
            <v>ICIV</v>
          </cell>
          <cell r="L334" t="str">
            <v>PTOS</v>
          </cell>
        </row>
        <row r="335">
          <cell r="A335">
            <v>1504</v>
          </cell>
          <cell r="B335" t="str">
            <v>ALARCON RAMIREZ CARMEN ROSA</v>
          </cell>
          <cell r="C335">
            <v>1958</v>
          </cell>
          <cell r="D335">
            <v>1998</v>
          </cell>
          <cell r="E335">
            <v>1750</v>
          </cell>
          <cell r="F335">
            <v>350</v>
          </cell>
          <cell r="I335">
            <v>2100</v>
          </cell>
          <cell r="J335" t="str">
            <v>F</v>
          </cell>
          <cell r="K335" t="str">
            <v>SEC</v>
          </cell>
          <cell r="L335" t="str">
            <v>BROC</v>
          </cell>
        </row>
        <row r="336">
          <cell r="A336">
            <v>1505</v>
          </cell>
          <cell r="B336" t="str">
            <v>ALMENARA BATTIFORA FERNANDO JOSE</v>
          </cell>
          <cell r="C336">
            <v>1950</v>
          </cell>
          <cell r="D336">
            <v>1998</v>
          </cell>
          <cell r="E336">
            <v>8580</v>
          </cell>
          <cell r="I336">
            <v>8580</v>
          </cell>
          <cell r="J336" t="str">
            <v>A</v>
          </cell>
          <cell r="K336" t="str">
            <v>ICIV</v>
          </cell>
          <cell r="L336" t="str">
            <v>BRASIL</v>
          </cell>
        </row>
        <row r="337">
          <cell r="A337">
            <v>1506</v>
          </cell>
          <cell r="B337" t="str">
            <v>PINILLOS VEGA ALBERTO JAIME</v>
          </cell>
          <cell r="C337">
            <v>1946</v>
          </cell>
          <cell r="D337">
            <v>1998</v>
          </cell>
          <cell r="E337">
            <v>7750</v>
          </cell>
          <cell r="I337">
            <v>7750</v>
          </cell>
          <cell r="J337" t="str">
            <v>C</v>
          </cell>
          <cell r="K337" t="str">
            <v>IME</v>
          </cell>
          <cell r="L337" t="str">
            <v>BRASIL</v>
          </cell>
        </row>
        <row r="338">
          <cell r="A338">
            <v>1511</v>
          </cell>
          <cell r="B338" t="str">
            <v>MACAVILCA MANCO JOSE LUIS</v>
          </cell>
          <cell r="C338">
            <v>1967</v>
          </cell>
          <cell r="D338">
            <v>1998</v>
          </cell>
          <cell r="E338">
            <v>4000</v>
          </cell>
          <cell r="I338">
            <v>4000</v>
          </cell>
          <cell r="J338" t="str">
            <v>E</v>
          </cell>
          <cell r="K338" t="str">
            <v>ICIV</v>
          </cell>
          <cell r="L338" t="str">
            <v>LIQUID</v>
          </cell>
        </row>
        <row r="339">
          <cell r="A339">
            <v>1512</v>
          </cell>
          <cell r="B339" t="str">
            <v>BEHR CASSINELLI JAVIER ALBERTO</v>
          </cell>
          <cell r="C339">
            <v>1970</v>
          </cell>
          <cell r="D339">
            <v>1998</v>
          </cell>
          <cell r="E339">
            <v>10000</v>
          </cell>
          <cell r="I339">
            <v>10000</v>
          </cell>
          <cell r="J339" t="str">
            <v>D</v>
          </cell>
          <cell r="K339" t="str">
            <v>IIND</v>
          </cell>
          <cell r="L339" t="str">
            <v>PE</v>
          </cell>
        </row>
        <row r="340">
          <cell r="A340">
            <v>1513</v>
          </cell>
          <cell r="B340" t="str">
            <v>RODRIGUEZ DE LAS CASAS MANUEL AUGUSTO</v>
          </cell>
          <cell r="C340">
            <v>1964</v>
          </cell>
          <cell r="D340">
            <v>1998</v>
          </cell>
          <cell r="E340">
            <v>2800</v>
          </cell>
          <cell r="F340">
            <v>840</v>
          </cell>
          <cell r="I340">
            <v>3640</v>
          </cell>
          <cell r="J340" t="str">
            <v>F</v>
          </cell>
          <cell r="K340" t="str">
            <v>IMEL</v>
          </cell>
          <cell r="L340" t="str">
            <v>LT23KV</v>
          </cell>
        </row>
        <row r="341">
          <cell r="A341">
            <v>1514</v>
          </cell>
          <cell r="B341" t="str">
            <v>OVIEDO ANASTACIO GERMAN MARCELINO</v>
          </cell>
          <cell r="C341">
            <v>1967</v>
          </cell>
          <cell r="D341">
            <v>2000</v>
          </cell>
          <cell r="E341">
            <v>3000</v>
          </cell>
          <cell r="F341">
            <v>450</v>
          </cell>
          <cell r="I341">
            <v>3450</v>
          </cell>
          <cell r="J341" t="str">
            <v>F</v>
          </cell>
          <cell r="K341" t="str">
            <v>IELEC</v>
          </cell>
          <cell r="L341" t="str">
            <v>LTCOS</v>
          </cell>
        </row>
        <row r="342">
          <cell r="A342">
            <v>1515</v>
          </cell>
          <cell r="B342" t="str">
            <v>ZAMORA CHAVEZ ROGER ERNESTO</v>
          </cell>
          <cell r="C342">
            <v>1971</v>
          </cell>
          <cell r="D342">
            <v>1998</v>
          </cell>
          <cell r="E342">
            <v>3130.43</v>
          </cell>
          <cell r="F342">
            <v>469.57</v>
          </cell>
          <cell r="I342">
            <v>3600</v>
          </cell>
          <cell r="J342" t="str">
            <v>F</v>
          </cell>
          <cell r="K342" t="str">
            <v>IMEL</v>
          </cell>
          <cell r="L342" t="str">
            <v>MESS</v>
          </cell>
        </row>
        <row r="343">
          <cell r="A343">
            <v>1520</v>
          </cell>
          <cell r="B343" t="str">
            <v xml:space="preserve">POMA RICALDI MARCELINO  </v>
          </cell>
          <cell r="C343">
            <v>1966</v>
          </cell>
          <cell r="D343">
            <v>1998</v>
          </cell>
          <cell r="E343">
            <v>4000</v>
          </cell>
          <cell r="F343">
            <v>1200</v>
          </cell>
          <cell r="I343">
            <v>5200</v>
          </cell>
          <cell r="J343" t="str">
            <v>E</v>
          </cell>
          <cell r="K343" t="str">
            <v>ICIV</v>
          </cell>
          <cell r="L343" t="str">
            <v>TORAT</v>
          </cell>
        </row>
        <row r="344">
          <cell r="A344">
            <v>1524</v>
          </cell>
          <cell r="B344" t="str">
            <v>SANDOVAL DE LOS RIOS ROCIO IRENE</v>
          </cell>
          <cell r="C344">
            <v>1974</v>
          </cell>
          <cell r="D344">
            <v>1999</v>
          </cell>
          <cell r="E344">
            <v>3000</v>
          </cell>
          <cell r="I344">
            <v>3000</v>
          </cell>
          <cell r="J344" t="str">
            <v>G</v>
          </cell>
          <cell r="K344" t="str">
            <v>ISIS</v>
          </cell>
          <cell r="L344" t="str">
            <v>INFOR</v>
          </cell>
        </row>
        <row r="345">
          <cell r="A345">
            <v>1525</v>
          </cell>
          <cell r="B345" t="str">
            <v>PUH PONCE LUIS MIGUEL</v>
          </cell>
          <cell r="C345">
            <v>1958</v>
          </cell>
          <cell r="D345">
            <v>1999</v>
          </cell>
          <cell r="E345">
            <v>3000</v>
          </cell>
          <cell r="F345">
            <v>1050</v>
          </cell>
          <cell r="I345">
            <v>4050</v>
          </cell>
          <cell r="J345" t="str">
            <v>E</v>
          </cell>
          <cell r="K345" t="str">
            <v>CTD</v>
          </cell>
          <cell r="L345" t="str">
            <v>TORAT</v>
          </cell>
        </row>
        <row r="346">
          <cell r="A346">
            <v>1528</v>
          </cell>
          <cell r="B346" t="str">
            <v>TAMAYO MENDOZA JUAN BERNARDO</v>
          </cell>
          <cell r="C346">
            <v>1961</v>
          </cell>
          <cell r="D346">
            <v>1999</v>
          </cell>
          <cell r="E346">
            <v>3450</v>
          </cell>
          <cell r="F346">
            <v>345</v>
          </cell>
          <cell r="I346">
            <v>3795</v>
          </cell>
          <cell r="J346" t="str">
            <v>E</v>
          </cell>
          <cell r="K346" t="str">
            <v>ICIV</v>
          </cell>
          <cell r="L346" t="str">
            <v>SEDMT</v>
          </cell>
        </row>
        <row r="347">
          <cell r="A347">
            <v>1529</v>
          </cell>
          <cell r="B347" t="str">
            <v>TORIBIO PANDO PEDRO ANGEL</v>
          </cell>
          <cell r="C347">
            <v>1964</v>
          </cell>
          <cell r="D347">
            <v>1999</v>
          </cell>
          <cell r="E347">
            <v>3450</v>
          </cell>
          <cell r="F347">
            <v>345</v>
          </cell>
          <cell r="I347">
            <v>3795</v>
          </cell>
          <cell r="J347" t="str">
            <v>E</v>
          </cell>
          <cell r="K347" t="str">
            <v>IME</v>
          </cell>
          <cell r="L347" t="str">
            <v>SEDMT</v>
          </cell>
        </row>
        <row r="348">
          <cell r="A348">
            <v>1530</v>
          </cell>
          <cell r="B348" t="str">
            <v>GALVEZ TRIGOSO MANUEL ROBERTO</v>
          </cell>
          <cell r="C348">
            <v>1946</v>
          </cell>
          <cell r="D348">
            <v>1999</v>
          </cell>
          <cell r="E348">
            <v>5000</v>
          </cell>
          <cell r="F348">
            <v>500</v>
          </cell>
          <cell r="I348">
            <v>5500</v>
          </cell>
          <cell r="J348" t="str">
            <v>D</v>
          </cell>
          <cell r="K348" t="str">
            <v>ICIV</v>
          </cell>
          <cell r="L348" t="str">
            <v>SEDMT</v>
          </cell>
        </row>
        <row r="349">
          <cell r="A349">
            <v>1531</v>
          </cell>
          <cell r="B349" t="str">
            <v>ALBORNOZ RAMIREZ FELIX ANCELMO</v>
          </cell>
          <cell r="C349">
            <v>1960</v>
          </cell>
          <cell r="D349">
            <v>1999</v>
          </cell>
          <cell r="E349">
            <v>3550</v>
          </cell>
          <cell r="F349">
            <v>355</v>
          </cell>
          <cell r="I349">
            <v>3905</v>
          </cell>
          <cell r="J349" t="str">
            <v>E</v>
          </cell>
          <cell r="K349" t="str">
            <v>ISAN</v>
          </cell>
          <cell r="L349" t="str">
            <v>SEDMT</v>
          </cell>
        </row>
        <row r="350">
          <cell r="A350">
            <v>1533</v>
          </cell>
          <cell r="B350" t="str">
            <v>POMAJULCA LOPEZ IVAN FRANCISCO</v>
          </cell>
          <cell r="C350">
            <v>1973</v>
          </cell>
          <cell r="D350">
            <v>1999</v>
          </cell>
          <cell r="E350">
            <v>4200</v>
          </cell>
          <cell r="I350">
            <v>4200</v>
          </cell>
          <cell r="J350" t="str">
            <v>E</v>
          </cell>
          <cell r="K350" t="str">
            <v>ISIS</v>
          </cell>
          <cell r="L350" t="str">
            <v>INFOR</v>
          </cell>
        </row>
        <row r="351">
          <cell r="A351">
            <v>1534</v>
          </cell>
          <cell r="B351" t="str">
            <v>IZQUIERDO RAMIREZ JORGE LUIS</v>
          </cell>
          <cell r="C351">
            <v>1973</v>
          </cell>
          <cell r="D351">
            <v>1999</v>
          </cell>
          <cell r="E351">
            <v>2272</v>
          </cell>
          <cell r="F351">
            <v>1136</v>
          </cell>
          <cell r="I351">
            <v>3408</v>
          </cell>
          <cell r="J351" t="str">
            <v>E</v>
          </cell>
          <cell r="K351" t="str">
            <v>ICIV</v>
          </cell>
          <cell r="L351" t="str">
            <v>ANTM</v>
          </cell>
        </row>
        <row r="352">
          <cell r="A352">
            <v>1536</v>
          </cell>
          <cell r="B352" t="str">
            <v>AMENABAR VELARDE ALEJANDRO VALENTIN</v>
          </cell>
          <cell r="C352">
            <v>1944</v>
          </cell>
          <cell r="D352">
            <v>1999</v>
          </cell>
          <cell r="E352">
            <v>13200</v>
          </cell>
          <cell r="I352">
            <v>13200</v>
          </cell>
          <cell r="J352" t="str">
            <v>C</v>
          </cell>
          <cell r="K352" t="str">
            <v>IGEOL</v>
          </cell>
          <cell r="L352" t="str">
            <v>RALCO</v>
          </cell>
        </row>
        <row r="353">
          <cell r="A353">
            <v>1537</v>
          </cell>
          <cell r="B353" t="str">
            <v xml:space="preserve">MEDINA GARYA EGELICO CRECENT  </v>
          </cell>
          <cell r="C353">
            <v>1963</v>
          </cell>
          <cell r="D353">
            <v>1999</v>
          </cell>
          <cell r="E353">
            <v>800</v>
          </cell>
          <cell r="I353">
            <v>800</v>
          </cell>
          <cell r="J353" t="str">
            <v>F</v>
          </cell>
          <cell r="K353" t="str">
            <v>MEC</v>
          </cell>
          <cell r="L353" t="str">
            <v>EDIFGM</v>
          </cell>
        </row>
        <row r="354">
          <cell r="A354">
            <v>1538</v>
          </cell>
          <cell r="B354" t="str">
            <v xml:space="preserve">PASTOR MORALES LUIS  </v>
          </cell>
          <cell r="C354">
            <v>1975</v>
          </cell>
          <cell r="D354">
            <v>1999</v>
          </cell>
          <cell r="E354">
            <v>1500</v>
          </cell>
          <cell r="F354">
            <v>375</v>
          </cell>
          <cell r="I354">
            <v>1875</v>
          </cell>
          <cell r="J354" t="str">
            <v>H</v>
          </cell>
          <cell r="K354">
            <v>0</v>
          </cell>
          <cell r="L354" t="str">
            <v>LTMS</v>
          </cell>
        </row>
        <row r="355">
          <cell r="A355">
            <v>1541</v>
          </cell>
          <cell r="B355" t="str">
            <v xml:space="preserve">SERNA SILVA MILTHON  </v>
          </cell>
          <cell r="C355">
            <v>1972</v>
          </cell>
          <cell r="D355">
            <v>1999</v>
          </cell>
          <cell r="E355">
            <v>2500</v>
          </cell>
          <cell r="F355">
            <v>750</v>
          </cell>
          <cell r="I355">
            <v>3250</v>
          </cell>
          <cell r="J355" t="str">
            <v>F</v>
          </cell>
          <cell r="K355" t="str">
            <v>IELEC</v>
          </cell>
          <cell r="L355" t="str">
            <v>LTMS</v>
          </cell>
        </row>
        <row r="356">
          <cell r="A356">
            <v>1543</v>
          </cell>
          <cell r="B356" t="str">
            <v>BOERO ESCOBAL JOSE HUMBERTO</v>
          </cell>
          <cell r="C356">
            <v>1937</v>
          </cell>
          <cell r="D356">
            <v>1999</v>
          </cell>
          <cell r="E356">
            <v>3500</v>
          </cell>
          <cell r="F356">
            <v>700</v>
          </cell>
          <cell r="I356">
            <v>4200</v>
          </cell>
          <cell r="J356" t="str">
            <v>G</v>
          </cell>
          <cell r="K356" t="str">
            <v>TSEG</v>
          </cell>
          <cell r="L356" t="str">
            <v>MESS</v>
          </cell>
        </row>
        <row r="357">
          <cell r="A357">
            <v>1547</v>
          </cell>
          <cell r="B357" t="str">
            <v>MAGUIÑO FLORES ALEX JHONY</v>
          </cell>
          <cell r="C357">
            <v>1962</v>
          </cell>
          <cell r="D357">
            <v>1999</v>
          </cell>
          <cell r="E357">
            <v>1150</v>
          </cell>
          <cell r="I357">
            <v>1150</v>
          </cell>
          <cell r="J357" t="str">
            <v>H</v>
          </cell>
          <cell r="K357">
            <v>0</v>
          </cell>
          <cell r="L357" t="str">
            <v>LIQUID</v>
          </cell>
        </row>
        <row r="358">
          <cell r="A358">
            <v>1548</v>
          </cell>
          <cell r="B358" t="str">
            <v>RAVINES GAMARRA ABEL FERNANDO</v>
          </cell>
          <cell r="C358">
            <v>1966</v>
          </cell>
          <cell r="D358">
            <v>1999</v>
          </cell>
          <cell r="E358">
            <v>1150</v>
          </cell>
          <cell r="I358">
            <v>1150</v>
          </cell>
          <cell r="J358" t="str">
            <v>H</v>
          </cell>
          <cell r="K358" t="str">
            <v>MEC</v>
          </cell>
          <cell r="L358" t="str">
            <v>CEQMT</v>
          </cell>
        </row>
        <row r="359">
          <cell r="A359">
            <v>1549</v>
          </cell>
          <cell r="B359" t="str">
            <v>TORRES CALVO MIGUEL ANGEL VICENTE</v>
          </cell>
          <cell r="C359">
            <v>1964</v>
          </cell>
          <cell r="D359">
            <v>1999</v>
          </cell>
          <cell r="E359">
            <v>2300</v>
          </cell>
          <cell r="F359">
            <v>690</v>
          </cell>
          <cell r="I359">
            <v>2990</v>
          </cell>
          <cell r="J359" t="str">
            <v>H</v>
          </cell>
          <cell r="K359" t="str">
            <v>TCONT</v>
          </cell>
          <cell r="L359" t="str">
            <v>LTMS</v>
          </cell>
        </row>
        <row r="360">
          <cell r="A360">
            <v>1551</v>
          </cell>
          <cell r="B360" t="str">
            <v>VILELA PORRAS EDGAR WALTER</v>
          </cell>
          <cell r="C360">
            <v>1955</v>
          </cell>
          <cell r="D360">
            <v>1999</v>
          </cell>
          <cell r="E360">
            <v>2500</v>
          </cell>
          <cell r="I360">
            <v>2500</v>
          </cell>
          <cell r="J360" t="str">
            <v>F</v>
          </cell>
          <cell r="K360" t="str">
            <v>EDUC</v>
          </cell>
          <cell r="L360" t="str">
            <v>CEQGG</v>
          </cell>
        </row>
        <row r="361">
          <cell r="A361">
            <v>1553</v>
          </cell>
          <cell r="B361" t="str">
            <v>QUIROZ GONZALEZ ROSA MARGARITA</v>
          </cell>
          <cell r="C361">
            <v>1960</v>
          </cell>
          <cell r="D361">
            <v>1999</v>
          </cell>
          <cell r="E361">
            <v>4400</v>
          </cell>
          <cell r="F361">
            <v>900</v>
          </cell>
          <cell r="I361">
            <v>5300</v>
          </cell>
          <cell r="J361" t="str">
            <v>E</v>
          </cell>
          <cell r="K361" t="str">
            <v>ICIV</v>
          </cell>
          <cell r="L361" t="str">
            <v>MARR</v>
          </cell>
        </row>
        <row r="362">
          <cell r="A362">
            <v>1558</v>
          </cell>
          <cell r="B362" t="str">
            <v>SILGADO CONSIGLIERI ENRIQUE DAVID</v>
          </cell>
          <cell r="C362">
            <v>1958</v>
          </cell>
          <cell r="D362">
            <v>1999</v>
          </cell>
          <cell r="E362">
            <v>13000</v>
          </cell>
          <cell r="I362">
            <v>13000</v>
          </cell>
          <cell r="J362" t="str">
            <v>C</v>
          </cell>
          <cell r="K362" t="str">
            <v>IIND</v>
          </cell>
          <cell r="L362" t="str">
            <v>LOG</v>
          </cell>
        </row>
        <row r="363">
          <cell r="A363">
            <v>1559</v>
          </cell>
          <cell r="B363" t="str">
            <v>NORES DEL CARPIO MARCO ANTONIO</v>
          </cell>
          <cell r="C363">
            <v>1976</v>
          </cell>
          <cell r="D363">
            <v>1999</v>
          </cell>
          <cell r="E363">
            <v>1100</v>
          </cell>
          <cell r="I363">
            <v>1100</v>
          </cell>
          <cell r="J363" t="str">
            <v>H</v>
          </cell>
          <cell r="K363" t="str">
            <v>MMAQ</v>
          </cell>
          <cell r="L363" t="str">
            <v>CEQMT</v>
          </cell>
        </row>
        <row r="364">
          <cell r="A364">
            <v>1561</v>
          </cell>
          <cell r="B364" t="str">
            <v>NIETO PASCO GIANNINA BEATRIZ</v>
          </cell>
          <cell r="C364">
            <v>1971</v>
          </cell>
          <cell r="D364">
            <v>1999</v>
          </cell>
          <cell r="E364">
            <v>1210</v>
          </cell>
          <cell r="I364">
            <v>1210</v>
          </cell>
          <cell r="J364" t="str">
            <v>H</v>
          </cell>
          <cell r="K364" t="str">
            <v>PRG</v>
          </cell>
          <cell r="L364" t="str">
            <v>MESS</v>
          </cell>
        </row>
        <row r="365">
          <cell r="A365">
            <v>1562</v>
          </cell>
          <cell r="B365" t="str">
            <v xml:space="preserve">HUMPPIRE CASTILLO ZENON  </v>
          </cell>
          <cell r="C365">
            <v>1956</v>
          </cell>
          <cell r="D365">
            <v>1999</v>
          </cell>
          <cell r="E365">
            <v>2500</v>
          </cell>
          <cell r="F365">
            <v>500</v>
          </cell>
          <cell r="I365">
            <v>3000</v>
          </cell>
          <cell r="J365" t="str">
            <v>G</v>
          </cell>
          <cell r="K365" t="str">
            <v>IELEC</v>
          </cell>
          <cell r="L365" t="str">
            <v>LTMS</v>
          </cell>
        </row>
        <row r="366">
          <cell r="A366">
            <v>1564</v>
          </cell>
          <cell r="B366" t="str">
            <v>MARTINEZ CELESTINO VICENTE REYNALDO</v>
          </cell>
          <cell r="C366">
            <v>1957</v>
          </cell>
          <cell r="D366">
            <v>1999</v>
          </cell>
          <cell r="E366">
            <v>3000</v>
          </cell>
          <cell r="F366">
            <v>350</v>
          </cell>
          <cell r="I366">
            <v>3350</v>
          </cell>
          <cell r="J366" t="str">
            <v>E</v>
          </cell>
          <cell r="K366" t="str">
            <v>TCONT</v>
          </cell>
          <cell r="L366" t="str">
            <v>LIQUID</v>
          </cell>
        </row>
        <row r="367">
          <cell r="A367">
            <v>1565</v>
          </cell>
          <cell r="B367" t="str">
            <v>LLERENA MIRANDA VICTOR HUGO</v>
          </cell>
          <cell r="C367">
            <v>1956</v>
          </cell>
          <cell r="D367">
            <v>1999</v>
          </cell>
          <cell r="E367">
            <v>7000</v>
          </cell>
          <cell r="I367">
            <v>7000</v>
          </cell>
          <cell r="J367" t="str">
            <v>E</v>
          </cell>
          <cell r="K367" t="str">
            <v>IMEL</v>
          </cell>
          <cell r="L367" t="str">
            <v>ANTM</v>
          </cell>
        </row>
        <row r="368">
          <cell r="A368">
            <v>1570</v>
          </cell>
          <cell r="B368" t="str">
            <v>AMAYA LEON AUGUSTO ELEUTER</v>
          </cell>
          <cell r="C368">
            <v>1966</v>
          </cell>
          <cell r="D368">
            <v>2000</v>
          </cell>
          <cell r="E368">
            <v>3500</v>
          </cell>
          <cell r="I368">
            <v>3500</v>
          </cell>
          <cell r="J368" t="str">
            <v>F</v>
          </cell>
          <cell r="K368" t="str">
            <v>TSEG</v>
          </cell>
          <cell r="L368" t="str">
            <v>ANTM</v>
          </cell>
        </row>
        <row r="369">
          <cell r="A369">
            <v>1575</v>
          </cell>
          <cell r="B369" t="str">
            <v>MONTEJO SANCHEZ FERNANDO RAMIRO</v>
          </cell>
          <cell r="C369">
            <v>1958</v>
          </cell>
          <cell r="D369">
            <v>2000</v>
          </cell>
          <cell r="E369">
            <v>2600</v>
          </cell>
          <cell r="F369">
            <v>875</v>
          </cell>
          <cell r="I369">
            <v>3475</v>
          </cell>
          <cell r="J369" t="str">
            <v>G</v>
          </cell>
          <cell r="K369" t="str">
            <v>TSEG</v>
          </cell>
          <cell r="L369" t="str">
            <v>ACHA</v>
          </cell>
        </row>
        <row r="370">
          <cell r="A370">
            <v>1578</v>
          </cell>
          <cell r="B370" t="str">
            <v>SERRANO GOMEZ COSME AURELIO</v>
          </cell>
          <cell r="C370">
            <v>1960</v>
          </cell>
          <cell r="D370">
            <v>1999</v>
          </cell>
          <cell r="E370">
            <v>6500</v>
          </cell>
          <cell r="I370">
            <v>6500</v>
          </cell>
          <cell r="J370" t="str">
            <v>E</v>
          </cell>
          <cell r="K370" t="str">
            <v>IGEOL</v>
          </cell>
          <cell r="L370" t="str">
            <v>ANTM</v>
          </cell>
        </row>
        <row r="371">
          <cell r="A371">
            <v>1580</v>
          </cell>
          <cell r="B371" t="str">
            <v>MACEDO CASTILLO JUAN JOSE</v>
          </cell>
          <cell r="C371">
            <v>1972</v>
          </cell>
          <cell r="D371">
            <v>1999</v>
          </cell>
          <cell r="E371">
            <v>2500</v>
          </cell>
          <cell r="F371">
            <v>500</v>
          </cell>
          <cell r="I371">
            <v>3000</v>
          </cell>
          <cell r="J371" t="str">
            <v>G</v>
          </cell>
          <cell r="K371" t="str">
            <v>IELEC</v>
          </cell>
          <cell r="L371" t="str">
            <v>LTCOS</v>
          </cell>
        </row>
        <row r="372">
          <cell r="A372">
            <v>1581</v>
          </cell>
          <cell r="B372" t="str">
            <v>LUNA FIGUEROA LEONIDAS CRISTOBAL</v>
          </cell>
          <cell r="C372">
            <v>1964</v>
          </cell>
          <cell r="D372">
            <v>1999</v>
          </cell>
          <cell r="E372">
            <v>2500</v>
          </cell>
          <cell r="F372">
            <v>500</v>
          </cell>
          <cell r="I372">
            <v>3000</v>
          </cell>
          <cell r="J372" t="str">
            <v>G</v>
          </cell>
          <cell r="K372" t="str">
            <v>IELEC</v>
          </cell>
          <cell r="L372" t="str">
            <v>LTMS</v>
          </cell>
        </row>
        <row r="373">
          <cell r="A373">
            <v>1582</v>
          </cell>
          <cell r="B373" t="str">
            <v xml:space="preserve">ALIAGA CEDRON ALDO  </v>
          </cell>
          <cell r="C373">
            <v>1967</v>
          </cell>
          <cell r="D373">
            <v>1999</v>
          </cell>
          <cell r="E373">
            <v>2200</v>
          </cell>
          <cell r="F373">
            <v>440</v>
          </cell>
          <cell r="I373">
            <v>2640</v>
          </cell>
          <cell r="J373" t="str">
            <v>G</v>
          </cell>
          <cell r="K373" t="str">
            <v>IELEC</v>
          </cell>
          <cell r="L373" t="str">
            <v>LTMS</v>
          </cell>
        </row>
        <row r="374">
          <cell r="A374">
            <v>1589</v>
          </cell>
          <cell r="B374" t="str">
            <v xml:space="preserve">ROZAS PUERTAS ROSMERY  </v>
          </cell>
          <cell r="C374">
            <v>1973</v>
          </cell>
          <cell r="D374">
            <v>1999</v>
          </cell>
          <cell r="E374">
            <v>2500</v>
          </cell>
          <cell r="F374">
            <v>500</v>
          </cell>
          <cell r="I374">
            <v>3000</v>
          </cell>
          <cell r="J374" t="str">
            <v>G</v>
          </cell>
          <cell r="K374" t="str">
            <v>IELEC</v>
          </cell>
          <cell r="L374" t="str">
            <v>LTMS</v>
          </cell>
        </row>
        <row r="375">
          <cell r="A375">
            <v>1590</v>
          </cell>
          <cell r="B375" t="str">
            <v>ARAUJO LESCANO PATRICIA JANET</v>
          </cell>
          <cell r="C375">
            <v>1972</v>
          </cell>
          <cell r="D375">
            <v>1999</v>
          </cell>
          <cell r="E375">
            <v>2000</v>
          </cell>
          <cell r="F375">
            <v>400</v>
          </cell>
          <cell r="I375">
            <v>2400</v>
          </cell>
          <cell r="J375" t="str">
            <v>E</v>
          </cell>
          <cell r="K375" t="str">
            <v>CTD</v>
          </cell>
          <cell r="L375" t="str">
            <v>LTMS</v>
          </cell>
        </row>
        <row r="376">
          <cell r="A376">
            <v>1591</v>
          </cell>
          <cell r="B376" t="str">
            <v xml:space="preserve">GAVANCHO CHAVEZ FERNANDO  </v>
          </cell>
          <cell r="C376">
            <v>1971</v>
          </cell>
          <cell r="D376">
            <v>1999</v>
          </cell>
          <cell r="E376">
            <v>2200</v>
          </cell>
          <cell r="F376">
            <v>440</v>
          </cell>
          <cell r="I376">
            <v>2640</v>
          </cell>
          <cell r="J376" t="str">
            <v>G</v>
          </cell>
          <cell r="K376" t="str">
            <v>IELEC</v>
          </cell>
          <cell r="L376" t="str">
            <v>LTMS</v>
          </cell>
        </row>
        <row r="377">
          <cell r="A377">
            <v>1593</v>
          </cell>
          <cell r="B377" t="str">
            <v>PALOMINO PAREDES EDWARD EMMANUEL</v>
          </cell>
          <cell r="C377">
            <v>1968</v>
          </cell>
          <cell r="D377">
            <v>1999</v>
          </cell>
          <cell r="E377">
            <v>2500</v>
          </cell>
          <cell r="F377">
            <v>500</v>
          </cell>
          <cell r="I377">
            <v>3000</v>
          </cell>
          <cell r="J377" t="str">
            <v>G</v>
          </cell>
          <cell r="K377" t="str">
            <v>ICIV</v>
          </cell>
          <cell r="L377" t="str">
            <v>LIQUID</v>
          </cell>
        </row>
        <row r="378">
          <cell r="A378">
            <v>1595</v>
          </cell>
          <cell r="B378" t="str">
            <v>SALAZAR SALAZAR VICTOR ALFREDO</v>
          </cell>
          <cell r="C378">
            <v>1941</v>
          </cell>
          <cell r="D378">
            <v>1999</v>
          </cell>
          <cell r="E378">
            <v>7850</v>
          </cell>
          <cell r="F378">
            <v>5855</v>
          </cell>
          <cell r="I378">
            <v>13705</v>
          </cell>
          <cell r="J378" t="str">
            <v>D</v>
          </cell>
          <cell r="K378" t="str">
            <v>IMEL</v>
          </cell>
          <cell r="L378" t="str">
            <v>BROC</v>
          </cell>
        </row>
        <row r="379">
          <cell r="A379">
            <v>1599</v>
          </cell>
          <cell r="B379" t="str">
            <v>ESPINOSA JENSSEN MANUEL EDUARDO</v>
          </cell>
          <cell r="C379">
            <v>1968</v>
          </cell>
          <cell r="D379">
            <v>1999</v>
          </cell>
          <cell r="E379">
            <v>4060</v>
          </cell>
          <cell r="F379">
            <v>1371</v>
          </cell>
          <cell r="I379">
            <v>5431</v>
          </cell>
          <cell r="J379" t="str">
            <v>E</v>
          </cell>
          <cell r="K379" t="str">
            <v>ICIV</v>
          </cell>
          <cell r="L379" t="str">
            <v>ANTM</v>
          </cell>
        </row>
        <row r="380">
          <cell r="A380">
            <v>1602</v>
          </cell>
          <cell r="B380" t="str">
            <v xml:space="preserve">CHUQUINAUPA LOZANO REYNER  </v>
          </cell>
          <cell r="C380">
            <v>1972</v>
          </cell>
          <cell r="D380">
            <v>1999</v>
          </cell>
          <cell r="E380">
            <v>2000</v>
          </cell>
          <cell r="F380">
            <v>400</v>
          </cell>
          <cell r="I380">
            <v>2400</v>
          </cell>
          <cell r="J380" t="str">
            <v>F</v>
          </cell>
          <cell r="K380" t="str">
            <v>CTD</v>
          </cell>
          <cell r="L380" t="str">
            <v>LTMS</v>
          </cell>
        </row>
        <row r="381">
          <cell r="A381">
            <v>1605</v>
          </cell>
          <cell r="B381" t="str">
            <v>PICHIULE JIMENEZ CARLOS GUSTAVO</v>
          </cell>
          <cell r="C381">
            <v>1957</v>
          </cell>
          <cell r="D381">
            <v>1999</v>
          </cell>
          <cell r="E381">
            <v>2500</v>
          </cell>
          <cell r="F381">
            <v>750</v>
          </cell>
          <cell r="I381">
            <v>3250</v>
          </cell>
          <cell r="J381" t="str">
            <v>F</v>
          </cell>
          <cell r="K381" t="str">
            <v>TOP</v>
          </cell>
          <cell r="L381" t="str">
            <v>LTMS</v>
          </cell>
        </row>
        <row r="382">
          <cell r="A382">
            <v>1609</v>
          </cell>
          <cell r="B382" t="str">
            <v>GALVEZ MARTINEZ ORLANDO JAVIER</v>
          </cell>
          <cell r="C382">
            <v>1971</v>
          </cell>
          <cell r="D382">
            <v>1999</v>
          </cell>
          <cell r="E382">
            <v>1550</v>
          </cell>
          <cell r="F382">
            <v>155</v>
          </cell>
          <cell r="I382">
            <v>1705</v>
          </cell>
          <cell r="J382" t="str">
            <v>F</v>
          </cell>
          <cell r="K382" t="str">
            <v>ADM</v>
          </cell>
          <cell r="L382" t="str">
            <v>LIQUID</v>
          </cell>
        </row>
        <row r="383">
          <cell r="A383">
            <v>1614</v>
          </cell>
          <cell r="B383" t="str">
            <v>PEREZ MORALES JOSE WALTER</v>
          </cell>
          <cell r="C383">
            <v>1960</v>
          </cell>
          <cell r="D383">
            <v>2000</v>
          </cell>
          <cell r="E383">
            <v>2500</v>
          </cell>
          <cell r="F383">
            <v>375</v>
          </cell>
          <cell r="I383">
            <v>2875</v>
          </cell>
          <cell r="J383" t="str">
            <v>G</v>
          </cell>
          <cell r="K383" t="str">
            <v>TOP</v>
          </cell>
          <cell r="L383" t="str">
            <v>LTCOS</v>
          </cell>
        </row>
        <row r="384">
          <cell r="A384">
            <v>1615</v>
          </cell>
          <cell r="B384" t="str">
            <v>CASTILLON ELESCANO RUBEN OSCAR</v>
          </cell>
          <cell r="C384">
            <v>1965</v>
          </cell>
          <cell r="D384">
            <v>1999</v>
          </cell>
          <cell r="E384">
            <v>3200</v>
          </cell>
          <cell r="F384">
            <v>640</v>
          </cell>
          <cell r="I384">
            <v>3840</v>
          </cell>
          <cell r="J384" t="str">
            <v>F</v>
          </cell>
          <cell r="K384" t="str">
            <v>IME</v>
          </cell>
          <cell r="L384" t="str">
            <v>LTMS</v>
          </cell>
        </row>
        <row r="385">
          <cell r="A385">
            <v>1616</v>
          </cell>
          <cell r="B385" t="str">
            <v>LLACSA LOZANO APOLINARIO FERNANDO</v>
          </cell>
          <cell r="C385">
            <v>1955</v>
          </cell>
          <cell r="D385">
            <v>1999</v>
          </cell>
          <cell r="E385">
            <v>1750</v>
          </cell>
          <cell r="F385">
            <v>350</v>
          </cell>
          <cell r="I385">
            <v>2100</v>
          </cell>
          <cell r="J385" t="str">
            <v>G</v>
          </cell>
          <cell r="K385">
            <v>0</v>
          </cell>
          <cell r="L385" t="str">
            <v>LTMS</v>
          </cell>
        </row>
        <row r="386">
          <cell r="A386">
            <v>1624</v>
          </cell>
          <cell r="B386" t="str">
            <v>GOYZUETA RODRIGUEZ CESAR AUGUSTO</v>
          </cell>
          <cell r="C386">
            <v>1963</v>
          </cell>
          <cell r="D386">
            <v>1999</v>
          </cell>
          <cell r="E386">
            <v>3500</v>
          </cell>
          <cell r="F386">
            <v>1050</v>
          </cell>
          <cell r="I386">
            <v>4550</v>
          </cell>
          <cell r="J386" t="str">
            <v>F</v>
          </cell>
          <cell r="K386" t="str">
            <v>IQUIM</v>
          </cell>
          <cell r="L386" t="str">
            <v>ANTM</v>
          </cell>
        </row>
        <row r="387">
          <cell r="A387">
            <v>1626</v>
          </cell>
          <cell r="B387" t="str">
            <v>PEÑA QUIROZ HUGO JORGE</v>
          </cell>
          <cell r="C387">
            <v>1958</v>
          </cell>
          <cell r="D387">
            <v>1999</v>
          </cell>
          <cell r="E387">
            <v>3000</v>
          </cell>
          <cell r="F387">
            <v>600</v>
          </cell>
          <cell r="I387">
            <v>3600</v>
          </cell>
          <cell r="J387" t="str">
            <v>F</v>
          </cell>
          <cell r="K387" t="str">
            <v>IMIN</v>
          </cell>
          <cell r="L387" t="str">
            <v>LTMS</v>
          </cell>
        </row>
        <row r="388">
          <cell r="A388">
            <v>1627</v>
          </cell>
          <cell r="B388" t="str">
            <v xml:space="preserve">SALAS GUILLEN ERWIN  </v>
          </cell>
          <cell r="C388">
            <v>1975</v>
          </cell>
          <cell r="D388">
            <v>1999</v>
          </cell>
          <cell r="E388">
            <v>2200</v>
          </cell>
          <cell r="F388">
            <v>660</v>
          </cell>
          <cell r="I388">
            <v>2860</v>
          </cell>
          <cell r="J388" t="str">
            <v>F</v>
          </cell>
          <cell r="K388" t="str">
            <v>PRG</v>
          </cell>
          <cell r="L388" t="str">
            <v>ANTM</v>
          </cell>
        </row>
        <row r="389">
          <cell r="A389">
            <v>1632</v>
          </cell>
          <cell r="B389" t="str">
            <v>TAMAYO OBANDO FREDY CHARLES</v>
          </cell>
          <cell r="C389">
            <v>1952</v>
          </cell>
          <cell r="D389">
            <v>1999</v>
          </cell>
          <cell r="E389">
            <v>5000</v>
          </cell>
          <cell r="F389">
            <v>1750</v>
          </cell>
          <cell r="I389">
            <v>6750</v>
          </cell>
          <cell r="J389" t="str">
            <v>E</v>
          </cell>
          <cell r="K389" t="str">
            <v>IGEOL</v>
          </cell>
          <cell r="L389" t="str">
            <v>BROC</v>
          </cell>
        </row>
        <row r="390">
          <cell r="A390">
            <v>1634</v>
          </cell>
          <cell r="B390" t="str">
            <v>ZEBALLOS RIVERA CARLOS ALBERTO</v>
          </cell>
          <cell r="C390">
            <v>1971</v>
          </cell>
          <cell r="D390">
            <v>1999</v>
          </cell>
          <cell r="E390">
            <v>2500</v>
          </cell>
          <cell r="F390">
            <v>500</v>
          </cell>
          <cell r="I390">
            <v>3000</v>
          </cell>
          <cell r="J390" t="str">
            <v>G</v>
          </cell>
          <cell r="K390" t="str">
            <v>IMEL</v>
          </cell>
          <cell r="L390" t="str">
            <v>LTMS</v>
          </cell>
        </row>
        <row r="391">
          <cell r="A391">
            <v>1635</v>
          </cell>
          <cell r="B391" t="str">
            <v>MORMONTOY MORALES IVANOV BELISARIO</v>
          </cell>
          <cell r="C391">
            <v>1973</v>
          </cell>
          <cell r="D391">
            <v>1999</v>
          </cell>
          <cell r="E391">
            <v>2500</v>
          </cell>
          <cell r="F391">
            <v>500</v>
          </cell>
          <cell r="I391">
            <v>3000</v>
          </cell>
          <cell r="J391" t="str">
            <v>G</v>
          </cell>
          <cell r="K391" t="str">
            <v>IELEC</v>
          </cell>
          <cell r="L391" t="str">
            <v>LTMS</v>
          </cell>
        </row>
        <row r="392">
          <cell r="A392">
            <v>1636</v>
          </cell>
          <cell r="B392" t="str">
            <v xml:space="preserve">HUARHUA ZAPATA RAUL  </v>
          </cell>
          <cell r="C392">
            <v>1965</v>
          </cell>
          <cell r="D392">
            <v>1999</v>
          </cell>
          <cell r="E392">
            <v>2500</v>
          </cell>
          <cell r="F392">
            <v>500</v>
          </cell>
          <cell r="I392">
            <v>3000</v>
          </cell>
          <cell r="J392" t="str">
            <v>H</v>
          </cell>
          <cell r="K392" t="str">
            <v>IELEC</v>
          </cell>
          <cell r="L392" t="str">
            <v>LTMS</v>
          </cell>
        </row>
        <row r="393">
          <cell r="A393">
            <v>1643</v>
          </cell>
          <cell r="B393" t="str">
            <v>RONQUILLO LLANOS LUIS GUSTAVO</v>
          </cell>
          <cell r="C393">
            <v>1967</v>
          </cell>
          <cell r="D393">
            <v>1999</v>
          </cell>
          <cell r="E393">
            <v>2500</v>
          </cell>
          <cell r="F393">
            <v>750</v>
          </cell>
          <cell r="I393">
            <v>3250</v>
          </cell>
          <cell r="J393" t="str">
            <v>G</v>
          </cell>
          <cell r="K393" t="str">
            <v>ICIV</v>
          </cell>
          <cell r="L393" t="str">
            <v>LTCOS</v>
          </cell>
        </row>
        <row r="394">
          <cell r="A394">
            <v>1644</v>
          </cell>
          <cell r="B394" t="str">
            <v xml:space="preserve">PEÑA VALDEIGLESIAS IVAN  </v>
          </cell>
          <cell r="C394">
            <v>1975</v>
          </cell>
          <cell r="D394">
            <v>1999</v>
          </cell>
          <cell r="E394">
            <v>2500</v>
          </cell>
          <cell r="F394">
            <v>500</v>
          </cell>
          <cell r="I394">
            <v>3000</v>
          </cell>
          <cell r="J394" t="str">
            <v>G</v>
          </cell>
          <cell r="K394" t="str">
            <v>IELEC</v>
          </cell>
          <cell r="L394" t="str">
            <v>LTMS</v>
          </cell>
        </row>
        <row r="395">
          <cell r="A395">
            <v>1646</v>
          </cell>
          <cell r="B395" t="str">
            <v>CAMPOS MORETTI ALFONSO ROBERTO</v>
          </cell>
          <cell r="C395">
            <v>1970</v>
          </cell>
          <cell r="D395">
            <v>1999</v>
          </cell>
          <cell r="E395">
            <v>2500</v>
          </cell>
          <cell r="F395">
            <v>500</v>
          </cell>
          <cell r="I395">
            <v>3000</v>
          </cell>
          <cell r="J395" t="str">
            <v>E</v>
          </cell>
          <cell r="K395" t="str">
            <v>CONS</v>
          </cell>
          <cell r="L395" t="str">
            <v>LTMS</v>
          </cell>
        </row>
        <row r="396">
          <cell r="A396">
            <v>1648</v>
          </cell>
          <cell r="B396" t="str">
            <v>FERNANDEZ DEJO WILLIAM OSWALDO</v>
          </cell>
          <cell r="C396">
            <v>1970</v>
          </cell>
          <cell r="D396">
            <v>1999</v>
          </cell>
          <cell r="E396">
            <v>3846.16</v>
          </cell>
          <cell r="F396">
            <v>1346.16</v>
          </cell>
          <cell r="I396">
            <v>5192.32</v>
          </cell>
          <cell r="J396" t="str">
            <v>E</v>
          </cell>
          <cell r="K396" t="str">
            <v>ECON</v>
          </cell>
          <cell r="L396" t="str">
            <v>TORAT</v>
          </cell>
        </row>
        <row r="397">
          <cell r="A397">
            <v>1649</v>
          </cell>
          <cell r="B397" t="str">
            <v>OVIEDO ALVA BEN CRISTIAN</v>
          </cell>
          <cell r="C397">
            <v>1976</v>
          </cell>
          <cell r="D397">
            <v>1999</v>
          </cell>
          <cell r="E397">
            <v>2000</v>
          </cell>
          <cell r="I397">
            <v>2000</v>
          </cell>
          <cell r="J397" t="str">
            <v>F</v>
          </cell>
          <cell r="K397" t="str">
            <v>CTD</v>
          </cell>
          <cell r="L397" t="str">
            <v>FIN</v>
          </cell>
        </row>
        <row r="398">
          <cell r="A398">
            <v>1650</v>
          </cell>
          <cell r="B398" t="str">
            <v>NEYRA LASTRA SEGUNDO EDUARDO</v>
          </cell>
          <cell r="C398">
            <v>1949</v>
          </cell>
          <cell r="D398">
            <v>1999</v>
          </cell>
          <cell r="E398">
            <v>2650</v>
          </cell>
          <cell r="F398">
            <v>530</v>
          </cell>
          <cell r="I398">
            <v>3180</v>
          </cell>
          <cell r="J398" t="str">
            <v>F</v>
          </cell>
          <cell r="K398" t="str">
            <v>TOP</v>
          </cell>
          <cell r="L398" t="str">
            <v>LTMS</v>
          </cell>
        </row>
        <row r="399">
          <cell r="A399">
            <v>1651</v>
          </cell>
          <cell r="B399" t="str">
            <v>BUITRON QUINDE CESAR AUGUSTO</v>
          </cell>
          <cell r="C399">
            <v>1958</v>
          </cell>
          <cell r="D399">
            <v>1999</v>
          </cell>
          <cell r="E399">
            <v>2500</v>
          </cell>
          <cell r="F399">
            <v>500</v>
          </cell>
          <cell r="I399">
            <v>3000</v>
          </cell>
          <cell r="J399" t="str">
            <v>F</v>
          </cell>
          <cell r="K399" t="str">
            <v>TOP</v>
          </cell>
          <cell r="L399" t="str">
            <v>LTMS</v>
          </cell>
        </row>
        <row r="400">
          <cell r="A400">
            <v>1652</v>
          </cell>
          <cell r="B400" t="str">
            <v xml:space="preserve">ABE MIRANDA ENRIQUE  </v>
          </cell>
          <cell r="C400">
            <v>1954</v>
          </cell>
          <cell r="D400">
            <v>1999</v>
          </cell>
          <cell r="E400">
            <v>3500</v>
          </cell>
          <cell r="F400">
            <v>700</v>
          </cell>
          <cell r="I400">
            <v>4200</v>
          </cell>
          <cell r="J400" t="str">
            <v>E</v>
          </cell>
          <cell r="K400" t="str">
            <v>TELC</v>
          </cell>
          <cell r="L400" t="str">
            <v>LTMS</v>
          </cell>
        </row>
        <row r="401">
          <cell r="A401">
            <v>1653</v>
          </cell>
          <cell r="B401" t="str">
            <v>ARAMBULO LOPEZ GEOVANI OSWALDO</v>
          </cell>
          <cell r="C401">
            <v>1975</v>
          </cell>
          <cell r="D401">
            <v>1999</v>
          </cell>
          <cell r="E401">
            <v>1700</v>
          </cell>
          <cell r="F401">
            <v>340</v>
          </cell>
          <cell r="I401">
            <v>2040</v>
          </cell>
          <cell r="J401" t="str">
            <v>G</v>
          </cell>
          <cell r="K401" t="str">
            <v>ICIV</v>
          </cell>
          <cell r="L401" t="str">
            <v>LTMS</v>
          </cell>
        </row>
        <row r="402">
          <cell r="A402">
            <v>1659</v>
          </cell>
          <cell r="B402" t="str">
            <v xml:space="preserve">TRAUCO DE LA CRUZ ANTERO  </v>
          </cell>
          <cell r="C402">
            <v>1957</v>
          </cell>
          <cell r="D402">
            <v>1999</v>
          </cell>
          <cell r="E402">
            <v>3500</v>
          </cell>
          <cell r="F402">
            <v>700</v>
          </cell>
          <cell r="I402">
            <v>4200</v>
          </cell>
          <cell r="J402" t="str">
            <v>E</v>
          </cell>
          <cell r="K402" t="str">
            <v>MEC</v>
          </cell>
          <cell r="L402" t="str">
            <v>LTMS</v>
          </cell>
        </row>
        <row r="403">
          <cell r="A403">
            <v>1660</v>
          </cell>
          <cell r="B403" t="str">
            <v>CABREJOS PEREYRA JOSE VICTOR</v>
          </cell>
          <cell r="C403">
            <v>1968</v>
          </cell>
          <cell r="D403">
            <v>1999</v>
          </cell>
          <cell r="E403">
            <v>3010</v>
          </cell>
          <cell r="F403">
            <v>903</v>
          </cell>
          <cell r="I403">
            <v>3913</v>
          </cell>
          <cell r="J403" t="str">
            <v>s/c</v>
          </cell>
          <cell r="K403" t="str">
            <v>ICIV</v>
          </cell>
          <cell r="L403" t="str">
            <v>PUQUI</v>
          </cell>
        </row>
        <row r="404">
          <cell r="A404">
            <v>1661</v>
          </cell>
          <cell r="B404" t="str">
            <v>ORNA LOPEZ LUIS ALBERTO</v>
          </cell>
          <cell r="C404">
            <v>1976</v>
          </cell>
          <cell r="D404">
            <v>1999</v>
          </cell>
          <cell r="E404">
            <v>1050</v>
          </cell>
          <cell r="F404">
            <v>315</v>
          </cell>
          <cell r="I404">
            <v>1365</v>
          </cell>
          <cell r="J404" t="str">
            <v>s/c</v>
          </cell>
          <cell r="K404" t="str">
            <v>TELC</v>
          </cell>
          <cell r="L404" t="str">
            <v>PUQUI</v>
          </cell>
        </row>
        <row r="405">
          <cell r="A405">
            <v>1662</v>
          </cell>
          <cell r="B405" t="str">
            <v>VALLEJOS TEJADA LUIS MIGUEL</v>
          </cell>
          <cell r="C405">
            <v>1961</v>
          </cell>
          <cell r="D405">
            <v>1999</v>
          </cell>
          <cell r="E405">
            <v>2000</v>
          </cell>
          <cell r="F405">
            <v>500</v>
          </cell>
          <cell r="I405">
            <v>2500</v>
          </cell>
          <cell r="J405" t="str">
            <v>s/c</v>
          </cell>
          <cell r="K405" t="str">
            <v>CTD</v>
          </cell>
          <cell r="L405" t="str">
            <v>PUQUI</v>
          </cell>
        </row>
        <row r="406">
          <cell r="A406">
            <v>1665</v>
          </cell>
          <cell r="B406" t="str">
            <v>BROADLEY TEANBY JOHN JAMES</v>
          </cell>
          <cell r="C406">
            <v>1944</v>
          </cell>
          <cell r="D406">
            <v>1999</v>
          </cell>
          <cell r="E406">
            <v>12500</v>
          </cell>
          <cell r="F406">
            <v>4375</v>
          </cell>
          <cell r="I406">
            <v>16875</v>
          </cell>
          <cell r="J406" t="str">
            <v>C</v>
          </cell>
          <cell r="K406" t="str">
            <v>IMIN</v>
          </cell>
          <cell r="L406" t="str">
            <v>BROC</v>
          </cell>
        </row>
        <row r="407">
          <cell r="A407">
            <v>1666</v>
          </cell>
          <cell r="B407" t="str">
            <v>PRADO BUSTAMANTE JAVIER MANUEL</v>
          </cell>
          <cell r="C407">
            <v>1964</v>
          </cell>
          <cell r="D407">
            <v>1999</v>
          </cell>
          <cell r="E407">
            <v>14190</v>
          </cell>
          <cell r="I407">
            <v>14190</v>
          </cell>
          <cell r="J407" t="str">
            <v>C</v>
          </cell>
          <cell r="K407" t="str">
            <v>ECON</v>
          </cell>
          <cell r="L407" t="str">
            <v>FIN</v>
          </cell>
        </row>
        <row r="408">
          <cell r="A408">
            <v>1672</v>
          </cell>
          <cell r="B408" t="str">
            <v xml:space="preserve">ESPINOZA ESCAJADILLO MIGDONIO  </v>
          </cell>
          <cell r="C408">
            <v>1953</v>
          </cell>
          <cell r="D408">
            <v>1999</v>
          </cell>
          <cell r="E408">
            <v>3000</v>
          </cell>
          <cell r="F408">
            <v>600</v>
          </cell>
          <cell r="I408">
            <v>3600</v>
          </cell>
          <cell r="J408" t="str">
            <v>E</v>
          </cell>
          <cell r="K408" t="str">
            <v>CONS</v>
          </cell>
          <cell r="L408" t="str">
            <v>LTMS</v>
          </cell>
        </row>
        <row r="409">
          <cell r="A409">
            <v>1674</v>
          </cell>
          <cell r="B409" t="str">
            <v>BECERRA GARCIA JULIO CESAR</v>
          </cell>
          <cell r="C409">
            <v>1933</v>
          </cell>
          <cell r="D409">
            <v>1999</v>
          </cell>
          <cell r="E409">
            <v>10800</v>
          </cell>
          <cell r="I409">
            <v>10800</v>
          </cell>
          <cell r="J409" t="str">
            <v>D</v>
          </cell>
          <cell r="K409" t="str">
            <v>ICIV</v>
          </cell>
          <cell r="L409" t="str">
            <v>PTOS</v>
          </cell>
        </row>
        <row r="410">
          <cell r="A410">
            <v>1675</v>
          </cell>
          <cell r="B410" t="str">
            <v>BASAURI VERA TUDELA MONICA ELIZABETH</v>
          </cell>
          <cell r="C410">
            <v>1978</v>
          </cell>
          <cell r="D410">
            <v>1999</v>
          </cell>
          <cell r="E410">
            <v>1400</v>
          </cell>
          <cell r="F410">
            <v>140</v>
          </cell>
          <cell r="I410">
            <v>1540</v>
          </cell>
          <cell r="J410" t="str">
            <v>G</v>
          </cell>
          <cell r="K410" t="str">
            <v>SEC</v>
          </cell>
          <cell r="L410" t="str">
            <v>SED7</v>
          </cell>
        </row>
        <row r="411">
          <cell r="A411">
            <v>1677</v>
          </cell>
          <cell r="B411" t="str">
            <v>TOLENTINO GABINO FAUSTO ODON</v>
          </cell>
          <cell r="C411">
            <v>1940</v>
          </cell>
          <cell r="D411">
            <v>1999</v>
          </cell>
          <cell r="E411">
            <v>7500</v>
          </cell>
          <cell r="I411">
            <v>7500</v>
          </cell>
          <cell r="J411" t="str">
            <v>E</v>
          </cell>
          <cell r="K411" t="str">
            <v>ICIV</v>
          </cell>
          <cell r="L411" t="str">
            <v>LIQUID</v>
          </cell>
        </row>
        <row r="412">
          <cell r="A412">
            <v>1681</v>
          </cell>
          <cell r="B412" t="str">
            <v>MIRANDA SOTO CARLOS ALBERTO</v>
          </cell>
          <cell r="C412">
            <v>1954</v>
          </cell>
          <cell r="D412">
            <v>1999</v>
          </cell>
          <cell r="E412">
            <v>3200</v>
          </cell>
          <cell r="F412">
            <v>640</v>
          </cell>
          <cell r="I412">
            <v>3840</v>
          </cell>
          <cell r="J412" t="str">
            <v>H</v>
          </cell>
          <cell r="K412" t="str">
            <v>TELC</v>
          </cell>
          <cell r="L412" t="str">
            <v>MESS</v>
          </cell>
        </row>
        <row r="413">
          <cell r="A413">
            <v>1682</v>
          </cell>
          <cell r="B413" t="str">
            <v xml:space="preserve">PEZO TURPO DANIEL  </v>
          </cell>
          <cell r="C413">
            <v>1970</v>
          </cell>
          <cell r="D413">
            <v>2000</v>
          </cell>
          <cell r="E413">
            <v>2800</v>
          </cell>
          <cell r="F413">
            <v>560</v>
          </cell>
          <cell r="I413">
            <v>3360</v>
          </cell>
          <cell r="J413" t="str">
            <v>G</v>
          </cell>
          <cell r="K413" t="str">
            <v>IELEC</v>
          </cell>
          <cell r="L413" t="str">
            <v>LTMS</v>
          </cell>
        </row>
        <row r="414">
          <cell r="A414">
            <v>1683</v>
          </cell>
          <cell r="B414" t="str">
            <v>CALONGE SANCHEZ RODOLFO ADOLFO</v>
          </cell>
          <cell r="C414">
            <v>1961</v>
          </cell>
          <cell r="D414">
            <v>1999</v>
          </cell>
          <cell r="E414">
            <v>4000</v>
          </cell>
          <cell r="I414">
            <v>4000</v>
          </cell>
          <cell r="J414" t="str">
            <v>E</v>
          </cell>
          <cell r="K414" t="str">
            <v>CTD</v>
          </cell>
          <cell r="L414" t="str">
            <v>SED 16</v>
          </cell>
        </row>
        <row r="415">
          <cell r="A415">
            <v>1685</v>
          </cell>
          <cell r="B415" t="str">
            <v xml:space="preserve">DEL CORRAL OLAYA ALBERTO  </v>
          </cell>
          <cell r="C415">
            <v>1942</v>
          </cell>
          <cell r="D415">
            <v>1999</v>
          </cell>
          <cell r="E415">
            <v>18000</v>
          </cell>
          <cell r="F415">
            <v>2700</v>
          </cell>
          <cell r="I415">
            <v>20700</v>
          </cell>
          <cell r="J415" t="str">
            <v>B</v>
          </cell>
          <cell r="K415" t="str">
            <v>ICIV</v>
          </cell>
          <cell r="L415" t="str">
            <v>TORAT</v>
          </cell>
        </row>
        <row r="416">
          <cell r="A416">
            <v>1686</v>
          </cell>
          <cell r="B416" t="str">
            <v>ARRIETA OCAMPO JUAN JOSE DEL CARMEN</v>
          </cell>
          <cell r="C416">
            <v>1954</v>
          </cell>
          <cell r="D416">
            <v>1999</v>
          </cell>
          <cell r="E416">
            <v>20000</v>
          </cell>
          <cell r="I416">
            <v>20000</v>
          </cell>
          <cell r="J416" t="str">
            <v>B</v>
          </cell>
          <cell r="K416" t="str">
            <v>SOC</v>
          </cell>
          <cell r="L416" t="str">
            <v>RRHH</v>
          </cell>
        </row>
        <row r="417">
          <cell r="A417">
            <v>1687</v>
          </cell>
          <cell r="B417" t="str">
            <v>OLIVEROS LAZO ENRIQUE OSWALDO</v>
          </cell>
          <cell r="C417">
            <v>1973</v>
          </cell>
          <cell r="D417">
            <v>2000</v>
          </cell>
          <cell r="E417">
            <v>2000</v>
          </cell>
          <cell r="I417">
            <v>2000</v>
          </cell>
          <cell r="J417" t="str">
            <v>G</v>
          </cell>
          <cell r="K417" t="str">
            <v>IME</v>
          </cell>
          <cell r="L417" t="str">
            <v>LTMS</v>
          </cell>
        </row>
        <row r="418">
          <cell r="A418">
            <v>1688</v>
          </cell>
          <cell r="B418" t="str">
            <v>GUTIERREZ HERRERA VLADIMIR MARTIN</v>
          </cell>
          <cell r="C418">
            <v>1975</v>
          </cell>
          <cell r="D418">
            <v>2000</v>
          </cell>
          <cell r="E418">
            <v>1700</v>
          </cell>
          <cell r="I418">
            <v>1700</v>
          </cell>
          <cell r="J418" t="str">
            <v>F</v>
          </cell>
          <cell r="K418" t="str">
            <v>CTD</v>
          </cell>
          <cell r="L418" t="str">
            <v>SED7</v>
          </cell>
        </row>
        <row r="419">
          <cell r="A419">
            <v>1689</v>
          </cell>
          <cell r="B419" t="str">
            <v>CASTRO BERNEDO ATANASIO RINO</v>
          </cell>
          <cell r="C419">
            <v>1951</v>
          </cell>
          <cell r="D419">
            <v>2000</v>
          </cell>
          <cell r="E419">
            <v>2400</v>
          </cell>
          <cell r="I419">
            <v>2400</v>
          </cell>
          <cell r="J419" t="str">
            <v>G</v>
          </cell>
          <cell r="K419" t="str">
            <v>IELEC</v>
          </cell>
          <cell r="L419" t="str">
            <v>LIQUID</v>
          </cell>
        </row>
        <row r="420">
          <cell r="A420">
            <v>1690</v>
          </cell>
          <cell r="B420" t="str">
            <v>VALDIVIA CARDENAS LUIS ERNESTO</v>
          </cell>
          <cell r="C420">
            <v>1947</v>
          </cell>
          <cell r="D420">
            <v>2000</v>
          </cell>
          <cell r="E420">
            <v>15500</v>
          </cell>
          <cell r="I420">
            <v>15500</v>
          </cell>
          <cell r="J420" t="str">
            <v>C</v>
          </cell>
          <cell r="K420" t="str">
            <v>IMEL</v>
          </cell>
          <cell r="L420" t="str">
            <v>LTANT</v>
          </cell>
        </row>
        <row r="421">
          <cell r="A421">
            <v>1691</v>
          </cell>
          <cell r="B421" t="str">
            <v xml:space="preserve">BUSTAMANTE PAMO HAMYLTON </v>
          </cell>
          <cell r="C421">
            <v>1972</v>
          </cell>
          <cell r="D421">
            <v>2000</v>
          </cell>
          <cell r="E421">
            <v>2500</v>
          </cell>
          <cell r="F421">
            <v>500</v>
          </cell>
          <cell r="I421">
            <v>3000</v>
          </cell>
          <cell r="J421" t="str">
            <v>F</v>
          </cell>
          <cell r="K421" t="str">
            <v>IELEC</v>
          </cell>
          <cell r="L421" t="str">
            <v>LTMS</v>
          </cell>
        </row>
        <row r="422">
          <cell r="A422">
            <v>1692</v>
          </cell>
          <cell r="B422" t="str">
            <v xml:space="preserve">TITO TITO FAUSTO </v>
          </cell>
          <cell r="C422">
            <v>1952</v>
          </cell>
          <cell r="D422">
            <v>2000</v>
          </cell>
          <cell r="E422">
            <v>2500</v>
          </cell>
          <cell r="F422">
            <v>375</v>
          </cell>
          <cell r="I422">
            <v>2875</v>
          </cell>
          <cell r="J422" t="str">
            <v>F</v>
          </cell>
          <cell r="K422" t="str">
            <v>TOP</v>
          </cell>
          <cell r="L422" t="str">
            <v>LTCOS</v>
          </cell>
        </row>
        <row r="423">
          <cell r="A423">
            <v>1693</v>
          </cell>
          <cell r="B423" t="str">
            <v>RIVAS RIGLOS ENRIQUE OMAR</v>
          </cell>
          <cell r="C423">
            <v>1963</v>
          </cell>
          <cell r="D423">
            <v>2000</v>
          </cell>
          <cell r="E423">
            <v>3500</v>
          </cell>
          <cell r="F423">
            <v>1225</v>
          </cell>
          <cell r="I423">
            <v>4725</v>
          </cell>
          <cell r="J423" t="str">
            <v>G</v>
          </cell>
          <cell r="K423" t="str">
            <v>TSEG</v>
          </cell>
          <cell r="L423" t="str">
            <v>ACHA</v>
          </cell>
        </row>
        <row r="424">
          <cell r="A424">
            <v>1694</v>
          </cell>
          <cell r="B424" t="str">
            <v>CORROCHANO CHICHIZOLA RAFAEL EDUARDO</v>
          </cell>
          <cell r="C424">
            <v>1979</v>
          </cell>
          <cell r="D424">
            <v>2000</v>
          </cell>
          <cell r="E424">
            <v>1955</v>
          </cell>
          <cell r="I424">
            <v>1955</v>
          </cell>
          <cell r="J424" t="str">
            <v>H</v>
          </cell>
          <cell r="K424" t="str">
            <v>ADM</v>
          </cell>
          <cell r="L424" t="str">
            <v>DCHOL</v>
          </cell>
        </row>
        <row r="425">
          <cell r="A425">
            <v>1695</v>
          </cell>
          <cell r="B425" t="str">
            <v xml:space="preserve">ZUBIATE ROMERO RICARDO </v>
          </cell>
          <cell r="C425">
            <v>1957</v>
          </cell>
          <cell r="D425">
            <v>2000</v>
          </cell>
          <cell r="E425">
            <v>14000</v>
          </cell>
          <cell r="I425">
            <v>14000</v>
          </cell>
          <cell r="J425" t="str">
            <v>C</v>
          </cell>
          <cell r="K425" t="str">
            <v>IME</v>
          </cell>
          <cell r="L425" t="str">
            <v>DIVEM</v>
          </cell>
        </row>
        <row r="426">
          <cell r="A426">
            <v>1696</v>
          </cell>
          <cell r="B426" t="str">
            <v xml:space="preserve">ALVAREZ PERALTA WILFREDO </v>
          </cell>
          <cell r="C426">
            <v>1974</v>
          </cell>
          <cell r="D426">
            <v>2000</v>
          </cell>
          <cell r="E426">
            <v>2730</v>
          </cell>
          <cell r="F426">
            <v>819</v>
          </cell>
          <cell r="I426">
            <v>3549</v>
          </cell>
          <cell r="J426" t="str">
            <v>F</v>
          </cell>
          <cell r="K426" t="str">
            <v>ICIV</v>
          </cell>
          <cell r="L426" t="str">
            <v>ACHA</v>
          </cell>
        </row>
        <row r="427">
          <cell r="A427">
            <v>1697</v>
          </cell>
          <cell r="B427" t="str">
            <v>CUEVA SORIANO ENZO FERNANDO</v>
          </cell>
          <cell r="C427">
            <v>1976</v>
          </cell>
          <cell r="D427">
            <v>2000</v>
          </cell>
          <cell r="E427">
            <v>1500</v>
          </cell>
          <cell r="I427">
            <v>1500</v>
          </cell>
          <cell r="J427" t="str">
            <v>G</v>
          </cell>
          <cell r="K427" t="str">
            <v>ISIS</v>
          </cell>
          <cell r="L427" t="str">
            <v>INFOR</v>
          </cell>
        </row>
      </sheetData>
      <sheetData sheetId="5" refreshError="1"/>
      <sheetData sheetId="6" refreshError="1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FIN10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Yrving Leon" id="{7283F020-6D33-4710-88A5-94C0514F345A}" userId="S::yleon@padovasac.com::b267d037-3e70-42d0-8552-c0e0e72a362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9B09A9-A9F5-401A-9AB0-E2E7E6AEACBB}" name="Tabla8" displayName="Tabla8" ref="E4:E11" totalsRowShown="0" headerRowDxfId="73" dataDxfId="71" headerRowBorderDxfId="72" tableBorderDxfId="70">
  <autoFilter ref="E4:E11" xr:uid="{5E9B09A9-A9F5-401A-9AB0-E2E7E6AEACBB}"/>
  <tableColumns count="1">
    <tableColumn id="1" xr3:uid="{BD369817-F05C-4059-B66E-E44D96D821B1}" name="DOCUMENTO" dataDxfId="6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9CD1D1B-261A-43CA-9BA0-968050D5DDEC}" name="Tabla10" displayName="Tabla10" ref="B4:C73" totalsRowShown="0" headerRowDxfId="68" dataDxfId="66" headerRowBorderDxfId="67" tableBorderDxfId="65">
  <autoFilter ref="B4:C73" xr:uid="{29CD1D1B-261A-43CA-9BA0-968050D5DDEC}"/>
  <tableColumns count="2">
    <tableColumn id="1" xr3:uid="{FF440D64-294E-4C9F-85DD-8704A5C74186}" name="Cuenta" dataDxfId="64"/>
    <tableColumn id="2" xr3:uid="{4A8CB735-FFFB-465E-8B28-860DDE6DFD9F}" name="Descripción" dataDxfId="6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B82102-07B3-4F60-827A-32F82CC5B7E5}" name="CUENTAS" displayName="CUENTAS" ref="A1:I2" totalsRowShown="0" headerRowDxfId="48" dataDxfId="47">
  <autoFilter ref="A1:I2" xr:uid="{2EB82102-07B3-4F60-827A-32F82CC5B7E5}"/>
  <sortState xmlns:xlrd2="http://schemas.microsoft.com/office/spreadsheetml/2017/richdata2" ref="A2:I2">
    <sortCondition descending="1" ref="B1:B2"/>
  </sortState>
  <tableColumns count="9">
    <tableColumn id="1" xr3:uid="{F3E12E39-3D2A-4A63-82C4-3A28227BAE42}" name="RUC" dataDxfId="46"/>
    <tableColumn id="7" xr3:uid="{3A08878B-42F1-4556-900D-99E1ED27EE37}" name="PROVEEDOR" dataDxfId="45"/>
    <tableColumn id="2" xr3:uid="{7CDE388F-EBA1-40D1-9B70-D3CD2A6397B0}" name="BANCO" dataDxfId="44"/>
    <tableColumn id="3" xr3:uid="{6D8AAD6A-7DFD-417B-B47F-6B75E0A2D599}" name="MONEDA" dataDxfId="43"/>
    <tableColumn id="4" xr3:uid="{219B5190-8DFD-48D8-A7E3-66D12C0D5EF7}" name="CC/CA" dataDxfId="42"/>
    <tableColumn id="5" xr3:uid="{8CC7446C-CAB2-476F-B41B-7D44BCA2C240}" name="CCI" dataDxfId="41"/>
    <tableColumn id="9" xr3:uid="{D6A156A6-A8BC-4868-A954-C45EC9C6BF1C}" name="DETRACCIÓN" dataDxfId="40"/>
    <tableColumn id="6" xr3:uid="{1D320112-5BB5-4A5D-A372-0E95739EE37F}" name="COMBINACION" dataDxfId="39">
      <calculatedColumnFormula>_xlfn.CONCAT(CUENTAS[[#This Row],[RUC]],CUENTAS[[#This Row],[BANCO]],CUENTAS[[#This Row],[MONEDA]])</calculatedColumnFormula>
    </tableColumn>
    <tableColumn id="8" xr3:uid="{FD3A9222-E6DD-471A-805D-33365C4C04B5}" name="BUSQUEDA" dataDxfId="38">
      <calculatedColumnFormula>_xlfn.CONCAT(CUENTAS[[#This Row],[RUC]],CUENTAS[[#This Row],[MONEDA]])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6C30D6-E3FA-477C-AA52-3BF33134DE7A}" name="Tabla7" displayName="Tabla7" ref="L1:L5" totalsRowShown="0" headerRowDxfId="62" dataDxfId="61">
  <autoFilter ref="L1:L5" xr:uid="{D56C30D6-E3FA-477C-AA52-3BF33134DE7A}"/>
  <tableColumns count="1">
    <tableColumn id="1" xr3:uid="{B895AB14-15D4-43B4-B8B7-A9FBC4A93176}" name="BANCOS" dataDxfId="6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F2B2B3-1F0D-4B97-83F6-46219CBDEC35}" name="Tabla3" displayName="Tabla3" ref="A1:AH20" headerRowDxfId="24" dataDxfId="22" totalsRowDxfId="23" headerRowBorderDxfId="49">
  <autoFilter ref="A1:AH20" xr:uid="{ECF2B2B3-1F0D-4B97-83F6-46219CBDEC35}"/>
  <sortState xmlns:xlrd2="http://schemas.microsoft.com/office/spreadsheetml/2017/richdata2" ref="A2:AH2">
    <sortCondition ref="A1:A2"/>
  </sortState>
  <tableColumns count="34">
    <tableColumn id="1" xr3:uid="{063C319C-3791-45B0-88E1-629D290155FD}" name="F. PROVISIÓN" totalsRowLabel="Total" dataDxfId="21" dataCellStyle="Hipervínculo"/>
    <tableColumn id="2" xr3:uid="{F6FD9504-A986-4D99-9BF0-327C8AFCBEE1}" name="F. ENVÍO" dataDxfId="20" totalsRowDxfId="59"/>
    <tableColumn id="3" xr3:uid="{533E3074-5A68-4528-9A44-79D491443C1F}" name="F. PAGO" dataDxfId="19"/>
    <tableColumn id="4" xr3:uid="{928F213B-4385-4DEC-8CAB-6E1ACF180292}" name="F. EMISIÓN" dataDxfId="18"/>
    <tableColumn id="31" xr3:uid="{7F9139DA-198C-441F-9B0D-AF1F944A03AA}" name="STATUS" dataDxfId="17">
      <calculatedColumnFormula>IF(AND(B2&lt;&gt;"",C2&lt;&gt;""),"PAGADO",IF(AND(B2="",C2&lt;&gt;""),"ERROR",IF(AND(B2&lt;&gt;"",C2=""),"ENVIADO","")))</calculatedColumnFormula>
    </tableColumn>
    <tableColumn id="5" xr3:uid="{74D6F521-3BE0-454D-9CD8-432D6F947BB1}" name="TIPO" dataDxfId="16"/>
    <tableColumn id="6" xr3:uid="{D3A48E81-8C5A-45F5-869A-8C1D80BA999A}" name="SERIE" dataDxfId="15"/>
    <tableColumn id="7" xr3:uid="{C7B4ECD2-1C51-4CB8-95C0-2B763CC44A0A}" name="N°" dataDxfId="14"/>
    <tableColumn id="8" xr3:uid="{275500D8-D890-468B-8810-8F91DDD9A175}" name="RUC" dataDxfId="13"/>
    <tableColumn id="9" xr3:uid="{3F6CE216-6561-4ADE-A47B-5C93EC27FA53}" name="RAZON SOCIAL" dataDxfId="12"/>
    <tableColumn id="10" xr3:uid="{C984165E-1601-427F-B955-1785075C3781}" name="PROYECTO" dataDxfId="11" totalsRowDxfId="58"/>
    <tableColumn id="11" xr3:uid="{AB6D2E3E-5964-4F3C-993E-CB885F7A934D}" name="PC" dataDxfId="10"/>
    <tableColumn id="30" xr3:uid="{7D85C307-CDCB-4F23-B0F1-81FD0B4937D4}" name="PC DETALLE" dataDxfId="2">
      <calculatedColumnFormula>IFERROR(VLOOKUP(L2,PC!$B$4:$C$73,2,0),"&lt;=== SELECCIONAR PC")</calculatedColumnFormula>
    </tableColumn>
    <tableColumn id="12" xr3:uid="{2C05EE66-DA24-4400-BCD7-87E36AA2B901}" name="DESCRIPCION" dataDxfId="0"/>
    <tableColumn id="13" xr3:uid="{C605592E-3FBB-4569-AE6B-82FFFE0B1A8A}" name="FACTURADO A" dataDxfId="1"/>
    <tableColumn id="14" xr3:uid="{D72717CF-5A16-4190-A6EA-E282874661D6}" name="MONEDA" dataDxfId="9"/>
    <tableColumn id="15" xr3:uid="{1B14A985-5F38-4A96-AF85-F492A3B912F0}" name="SUBTOTAL" totalsRowFunction="sum" dataDxfId="8" dataCellStyle="Millares"/>
    <tableColumn id="16" xr3:uid="{89F788E4-AD44-47BD-A94F-0BF96EAFE010}" name="IGV" totalsRowFunction="sum" dataDxfId="36" totalsRowDxfId="57" dataCellStyle="Millares">
      <calculatedColumnFormula>IF(OR(F2="FACTURA",F2="BOLETA"),(Q2*0.18),IF(F2="RXH",IF(Q2&gt;1500,(-Q2*0.08),0),IF(OR(F2="INVOICE",F2="RECIBO",F2="OTROS SIN IGV"),0,IF(F2="CAJA CHICA",0))))</calculatedColumnFormula>
    </tableColumn>
    <tableColumn id="17" xr3:uid="{D6D31160-28F5-4075-AFE5-2DB6D0E5F8C3}" name="IMPORTE" dataDxfId="7" dataCellStyle="Millares"/>
    <tableColumn id="18" xr3:uid="{3E19A50E-3DCA-453D-9E1A-FC4296C23AF0}" name="TC" dataDxfId="35" dataCellStyle="Millares">
      <calculatedColumnFormula>IFERROR((VLOOKUP(A2,TC!$A$1:$C$157,3,FALSE)),"-")</calculatedColumnFormula>
    </tableColumn>
    <tableColumn id="19" xr3:uid="{F3E3E6AB-5BB5-4247-93DF-876298A586D1}" name="SOLARIZADO SIN IGV" totalsRowFunction="sum" dataDxfId="34" dataCellStyle="Millares">
      <calculatedColumnFormula>IFERROR(IF(P2="SOL",IF(Q2=0,S2,Q2),IF(AND(P2&lt;&gt;"DOLARES",P2&lt;&gt;"DÓLARES"),"-",IF(Q2=0,S2*T2,Q2*T2))),"-")</calculatedColumnFormula>
    </tableColumn>
    <tableColumn id="20" xr3:uid="{249B5619-FECD-4B49-A17B-2A37DE3C6CAA}" name="SOLARIZADO CON IGV" totalsRowFunction="sum" dataDxfId="33" dataCellStyle="Millares">
      <calculatedColumnFormula>IFERROR(IF(P2="SOL",S2,IF(OR(P2="DOLARES",P2="DÓLARES"),S2*T2,"-")),"-")</calculatedColumnFormula>
    </tableColumn>
    <tableColumn id="21" xr3:uid="{CADD57FE-DF64-4B1D-A058-C4D708527CA9}" name="TIPO DET" dataDxfId="6"/>
    <tableColumn id="22" xr3:uid="{48CB9BA2-86B7-4F3C-BEF8-2F26CA581E9D}" name="PORCENTAJE" dataDxfId="5" dataCellStyle="Porcentaje"/>
    <tableColumn id="23" xr3:uid="{8521C3EB-509B-42BA-8CBA-CAA650EC7FF2}" name="DETRACCION" dataDxfId="32" dataCellStyle="Millares">
      <calculatedColumnFormula>IFERROR(Tabla3[[#This Row],[PORCENTAJE]]*Tabla3[[#This Row],[IMPORTE]],0)</calculatedColumnFormula>
    </tableColumn>
    <tableColumn id="32" xr3:uid="{7286EDA6-72C2-4265-BFE1-24213985FF2F}" name="FG" dataDxfId="4" dataCellStyle="Millares"/>
    <tableColumn id="24" xr3:uid="{92A49911-7E92-4B95-8AF7-43F6EFD73C43}" name="DESCUENTOS" dataDxfId="3"/>
    <tableColumn id="25" xr3:uid="{37D3B3B2-24E2-4221-A297-DB36D9915F5B}" name="TOTAL PAGO" dataDxfId="31" dataCellStyle="Millares">
      <calculatedColumnFormula>Tabla3[[#This Row],[IMPORTE]]-Tabla3[[#This Row],[DETRACCION]]-Tabla3[[#This Row],[FG]]-Tabla3[[#This Row],[DESCUENTOS]]</calculatedColumnFormula>
    </tableColumn>
    <tableColumn id="26" xr3:uid="{17868816-E7F3-4910-BA75-0FD0BBC89FD4}" name="BANCO" dataDxfId="30">
      <calculatedColumnFormula>IFERROR(INDEX(CUENTAS[BANCO],MATCH(_xlfn.CONCAT(Tabla3[[#This Row],[RUC]],Tabla3[[#This Row],[MONEDA]]),CUENTAS[BUSQUEDA],0)),"--")</calculatedColumnFormula>
    </tableColumn>
    <tableColumn id="27" xr3:uid="{CCD5294E-0296-44F3-BD34-1E98C8BE06C7}" name="CC" dataDxfId="29">
      <calculatedColumnFormula>IFERROR(INDEX(CUENTAS[CC/CA],MATCH(_xlfn.CONCAT(Tabla3[[#This Row],[RUC]],Tabla3[[#This Row],[MONEDA]]),CUENTAS[BUSQUEDA],0)),"--")</calculatedColumnFormula>
    </tableColumn>
    <tableColumn id="28" xr3:uid="{F772B880-2583-43AC-909C-849206A4CF8C}" name="CCI" dataDxfId="28">
      <calculatedColumnFormula>IFERROR(INDEX(CUENTAS[CCI], MATCH(_xlfn.CONCAT(Tabla3[[#This Row],[RUC]], Tabla3[[#This Row],[MONEDA]]), CUENTAS[BUSQUEDA], 0)),"--")</calculatedColumnFormula>
    </tableColumn>
    <tableColumn id="29" xr3:uid="{9E75A54A-FC91-4951-BC91-B68A934A8AB1}" name="C. DETRACCION" totalsRowFunction="count" dataDxfId="27">
      <calculatedColumnFormula>IFERROR(VLOOKUP(Tabla3[[#This Row],[RUC]],CUENTAS[#All],7,0),"--")</calculatedColumnFormula>
    </tableColumn>
    <tableColumn id="34" xr3:uid="{8454F2DB-CA24-42DC-812D-FEFCD6A4DD6A}" name="Mes" dataDxfId="26" totalsRowDxfId="56">
      <calculatedColumnFormula>+UPPER(TEXT(Tabla3[[#This Row],[F. PROVISIÓN]],"mmm"))</calculatedColumnFormula>
    </tableColumn>
    <tableColumn id="35" xr3:uid="{AD7D619C-82FD-4F66-8223-1A6A1D86216C}" name="Año" dataDxfId="25" totalsRowDxfId="55">
      <calculatedColumnFormula>+YEAR(Tabla3[[#This Row],[F. PROVISIÓN]])</calculatedColumnFormula>
    </tableColumn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14F2AC-5B67-417D-8BDF-A321431C50FB}" name="Tabla5" displayName="Tabla5" ref="A1:C157" totalsRowShown="0" headerRowDxfId="54" dataDxfId="53">
  <autoFilter ref="A1:C157" xr:uid="{CF14F2AC-5B67-417D-8BDF-A321431C50FB}"/>
  <tableColumns count="3">
    <tableColumn id="1" xr3:uid="{E0819555-6814-40F2-A397-6BC59BCD8CCB}" name="FECHA" dataDxfId="52"/>
    <tableColumn id="2" xr3:uid="{5BBF34B1-46E9-47BC-B654-DFAA4262CC01}" name="T. COMPRA" dataDxfId="51" dataCellStyle="Millares"/>
    <tableColumn id="3" xr3:uid="{16E9FC0E-7F3E-408F-A6DD-D460DF864774}" name="T. VENTA" dataDxfId="50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5-08-04T22:01:23.25" personId="{7283F020-6D33-4710-88A5-94C0514F345A}" id="{0806015A-4E54-4E96-BF65-62893DCC8A07}">
    <text>Solo debe editarse las columnas en color amarillo, (desde la columna “A” hasta “G”), no debe eliminarse la columna “H”, “I”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  <wetp:taskpane dockstate="right" visibility="0" width="438" row="1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21AB7CCD-DBED-484E-B7F4-CB5EC493393C}">
  <we:reference id="wa200005502" version="1.0.0.11" store="es-ES" storeType="OMEX"/>
  <we:alternateReferences>
    <we:reference id="wa200005502" version="1.0.0.11" store="wa200005502" storeType="OMEX"/>
  </we:alternateReferences>
  <we:properties>
    <we:property name="docId" value="&quot;vgK2tAkWVkjL4WR5QgkO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994D4D51-3A12-4540-83D3-96366A338867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XML/" TargetMode="External"/><Relationship Id="rId13" Type="http://schemas.openxmlformats.org/officeDocument/2006/relationships/hyperlink" Target="../XML/" TargetMode="External"/><Relationship Id="rId18" Type="http://schemas.openxmlformats.org/officeDocument/2006/relationships/hyperlink" Target="../XML/" TargetMode="External"/><Relationship Id="rId3" Type="http://schemas.openxmlformats.org/officeDocument/2006/relationships/hyperlink" Target="../XML/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../XML/" TargetMode="External"/><Relationship Id="rId12" Type="http://schemas.openxmlformats.org/officeDocument/2006/relationships/hyperlink" Target="../XML/" TargetMode="External"/><Relationship Id="rId17" Type="http://schemas.openxmlformats.org/officeDocument/2006/relationships/hyperlink" Target="../XML/" TargetMode="External"/><Relationship Id="rId2" Type="http://schemas.openxmlformats.org/officeDocument/2006/relationships/hyperlink" Target="../XML/" TargetMode="External"/><Relationship Id="rId16" Type="http://schemas.openxmlformats.org/officeDocument/2006/relationships/hyperlink" Target="../XML/" TargetMode="External"/><Relationship Id="rId20" Type="http://schemas.openxmlformats.org/officeDocument/2006/relationships/hyperlink" Target="../XML/" TargetMode="External"/><Relationship Id="rId1" Type="http://schemas.openxmlformats.org/officeDocument/2006/relationships/hyperlink" Target="../../../../../../Fiorella/OneDrive%20-%20PADOVA%20SAC/MKT%20-%20MARKETING/Marketing/PPTO%20Marketing/Carpeta%20%20con%20Finanzas/Marketing/FACTURAS/PROVISIONADOS%20F.%20PROVISI&#211;N/1" TargetMode="External"/><Relationship Id="rId6" Type="http://schemas.openxmlformats.org/officeDocument/2006/relationships/hyperlink" Target="../XML/" TargetMode="External"/><Relationship Id="rId11" Type="http://schemas.openxmlformats.org/officeDocument/2006/relationships/hyperlink" Target="../XML/" TargetMode="External"/><Relationship Id="rId5" Type="http://schemas.openxmlformats.org/officeDocument/2006/relationships/hyperlink" Target="../XML/" TargetMode="External"/><Relationship Id="rId15" Type="http://schemas.openxmlformats.org/officeDocument/2006/relationships/hyperlink" Target="../XML/" TargetMode="External"/><Relationship Id="rId23" Type="http://schemas.openxmlformats.org/officeDocument/2006/relationships/table" Target="../tables/table5.xml"/><Relationship Id="rId10" Type="http://schemas.openxmlformats.org/officeDocument/2006/relationships/hyperlink" Target="../XML/" TargetMode="External"/><Relationship Id="rId19" Type="http://schemas.openxmlformats.org/officeDocument/2006/relationships/hyperlink" Target="../XML/" TargetMode="External"/><Relationship Id="rId4" Type="http://schemas.openxmlformats.org/officeDocument/2006/relationships/hyperlink" Target="../XML/" TargetMode="External"/><Relationship Id="rId9" Type="http://schemas.openxmlformats.org/officeDocument/2006/relationships/hyperlink" Target="../XML/" TargetMode="External"/><Relationship Id="rId14" Type="http://schemas.openxmlformats.org/officeDocument/2006/relationships/hyperlink" Target="../XML/" TargetMode="External"/><Relationship Id="rId22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BA4F-1078-4D59-BF48-E0CD61942758}">
  <sheetPr codeName="Hoja1"/>
  <dimension ref="A3:E73"/>
  <sheetViews>
    <sheetView zoomScaleNormal="100" workbookViewId="0">
      <pane ySplit="4" topLeftCell="A17" activePane="bottomLeft" state="frozen"/>
      <selection pane="bottomLeft" activeCell="E23" sqref="E23"/>
    </sheetView>
  </sheetViews>
  <sheetFormatPr baseColWidth="10" defaultColWidth="11.44140625" defaultRowHeight="13.2" x14ac:dyDescent="0.3"/>
  <cols>
    <col min="1" max="1" width="18.88671875" style="13" customWidth="1"/>
    <col min="2" max="2" width="12" style="13" bestFit="1" customWidth="1"/>
    <col min="3" max="3" width="58.77734375" style="13" bestFit="1" customWidth="1"/>
    <col min="4" max="4" width="7.44140625" style="13" customWidth="1"/>
    <col min="5" max="5" width="17.44140625" style="13" customWidth="1"/>
    <col min="6" max="16384" width="11.44140625" style="13"/>
  </cols>
  <sheetData>
    <row r="3" spans="1:5" ht="13.8" thickBot="1" x14ac:dyDescent="0.35"/>
    <row r="4" spans="1:5" ht="13.8" thickBot="1" x14ac:dyDescent="0.35">
      <c r="B4" s="37" t="s">
        <v>0</v>
      </c>
      <c r="C4" s="38" t="s">
        <v>1</v>
      </c>
      <c r="E4" s="36" t="s">
        <v>2</v>
      </c>
    </row>
    <row r="5" spans="1:5" ht="13.2" customHeight="1" x14ac:dyDescent="0.25">
      <c r="A5" s="44" t="s">
        <v>55</v>
      </c>
      <c r="B5" s="22">
        <v>234040104</v>
      </c>
      <c r="C5" s="18" t="s">
        <v>56</v>
      </c>
      <c r="E5" s="35" t="s">
        <v>3</v>
      </c>
    </row>
    <row r="6" spans="1:5" x14ac:dyDescent="0.25">
      <c r="A6" s="45"/>
      <c r="B6" s="12">
        <v>234040105</v>
      </c>
      <c r="C6" s="19" t="s">
        <v>57</v>
      </c>
      <c r="E6" s="33" t="s">
        <v>4</v>
      </c>
    </row>
    <row r="7" spans="1:5" x14ac:dyDescent="0.25">
      <c r="A7" s="45"/>
      <c r="B7" s="12">
        <v>234040107</v>
      </c>
      <c r="C7" s="19" t="s">
        <v>58</v>
      </c>
      <c r="E7" s="33" t="s">
        <v>5</v>
      </c>
    </row>
    <row r="8" spans="1:5" x14ac:dyDescent="0.25">
      <c r="A8" s="45"/>
      <c r="B8" s="12">
        <v>234040108</v>
      </c>
      <c r="C8" s="19" t="s">
        <v>59</v>
      </c>
      <c r="E8" s="33" t="s">
        <v>6</v>
      </c>
    </row>
    <row r="9" spans="1:5" x14ac:dyDescent="0.25">
      <c r="A9" s="45"/>
      <c r="B9" s="12">
        <v>234040109</v>
      </c>
      <c r="C9" s="19" t="s">
        <v>60</v>
      </c>
      <c r="E9" s="33" t="s">
        <v>7</v>
      </c>
    </row>
    <row r="10" spans="1:5" x14ac:dyDescent="0.25">
      <c r="A10" s="45"/>
      <c r="B10" s="12">
        <v>234040201</v>
      </c>
      <c r="C10" s="19" t="s">
        <v>61</v>
      </c>
      <c r="E10" s="34" t="s">
        <v>8</v>
      </c>
    </row>
    <row r="11" spans="1:5" x14ac:dyDescent="0.25">
      <c r="A11" s="45"/>
      <c r="B11" s="12">
        <v>234040203</v>
      </c>
      <c r="C11" s="19" t="s">
        <v>62</v>
      </c>
      <c r="E11" s="48" t="s">
        <v>142</v>
      </c>
    </row>
    <row r="12" spans="1:5" x14ac:dyDescent="0.25">
      <c r="A12" s="45"/>
      <c r="B12" s="12">
        <v>234040204</v>
      </c>
      <c r="C12" s="19" t="s">
        <v>63</v>
      </c>
    </row>
    <row r="13" spans="1:5" x14ac:dyDescent="0.25">
      <c r="A13" s="45"/>
      <c r="B13" s="12">
        <v>234040209</v>
      </c>
      <c r="C13" s="19" t="s">
        <v>64</v>
      </c>
      <c r="E13" s="30"/>
    </row>
    <row r="14" spans="1:5" x14ac:dyDescent="0.25">
      <c r="A14" s="45"/>
      <c r="B14" s="12">
        <v>234040211</v>
      </c>
      <c r="C14" s="19" t="s">
        <v>65</v>
      </c>
      <c r="E14" s="7"/>
    </row>
    <row r="15" spans="1:5" x14ac:dyDescent="0.25">
      <c r="A15" s="45"/>
      <c r="B15" s="12">
        <v>234040205</v>
      </c>
      <c r="C15" s="19" t="s">
        <v>66</v>
      </c>
      <c r="E15" s="30"/>
    </row>
    <row r="16" spans="1:5" ht="13.8" thickBot="1" x14ac:dyDescent="0.3">
      <c r="A16" s="46"/>
      <c r="B16" s="21">
        <v>234040210</v>
      </c>
      <c r="C16" s="20" t="s">
        <v>67</v>
      </c>
    </row>
    <row r="17" spans="1:3" x14ac:dyDescent="0.25">
      <c r="A17" s="39" t="s">
        <v>68</v>
      </c>
      <c r="B17" s="22">
        <v>23406010401</v>
      </c>
      <c r="C17" s="18" t="s">
        <v>69</v>
      </c>
    </row>
    <row r="18" spans="1:3" x14ac:dyDescent="0.25">
      <c r="A18" s="47"/>
      <c r="B18" s="12">
        <v>23406040201</v>
      </c>
      <c r="C18" s="19" t="s">
        <v>70</v>
      </c>
    </row>
    <row r="19" spans="1:3" x14ac:dyDescent="0.25">
      <c r="A19" s="47"/>
      <c r="B19" s="12">
        <v>234060601</v>
      </c>
      <c r="C19" s="19" t="s">
        <v>71</v>
      </c>
    </row>
    <row r="20" spans="1:3" x14ac:dyDescent="0.25">
      <c r="A20" s="47"/>
      <c r="B20" s="12">
        <v>234063601</v>
      </c>
      <c r="C20" s="19" t="s">
        <v>72</v>
      </c>
    </row>
    <row r="21" spans="1:3" x14ac:dyDescent="0.25">
      <c r="A21" s="47"/>
      <c r="B21" s="12">
        <v>234063701</v>
      </c>
      <c r="C21" s="19" t="s">
        <v>73</v>
      </c>
    </row>
    <row r="22" spans="1:3" x14ac:dyDescent="0.25">
      <c r="A22" s="47"/>
      <c r="B22" s="12">
        <v>234063801</v>
      </c>
      <c r="C22" s="19" t="s">
        <v>74</v>
      </c>
    </row>
    <row r="23" spans="1:3" x14ac:dyDescent="0.25">
      <c r="A23" s="47"/>
      <c r="B23" s="12">
        <v>234063901</v>
      </c>
      <c r="C23" s="19" t="s">
        <v>75</v>
      </c>
    </row>
    <row r="24" spans="1:3" x14ac:dyDescent="0.25">
      <c r="A24" s="47"/>
      <c r="B24" s="12">
        <v>234064001</v>
      </c>
      <c r="C24" s="19" t="s">
        <v>76</v>
      </c>
    </row>
    <row r="25" spans="1:3" x14ac:dyDescent="0.25">
      <c r="A25" s="47"/>
      <c r="B25" s="12">
        <v>234064101</v>
      </c>
      <c r="C25" s="19" t="s">
        <v>77</v>
      </c>
    </row>
    <row r="26" spans="1:3" x14ac:dyDescent="0.25">
      <c r="A26" s="47"/>
      <c r="B26" s="12">
        <v>234064201</v>
      </c>
      <c r="C26" s="19" t="s">
        <v>78</v>
      </c>
    </row>
    <row r="27" spans="1:3" x14ac:dyDescent="0.25">
      <c r="A27" s="47"/>
      <c r="B27" s="12">
        <v>234064301</v>
      </c>
      <c r="C27" s="19" t="s">
        <v>79</v>
      </c>
    </row>
    <row r="28" spans="1:3" x14ac:dyDescent="0.25">
      <c r="A28" s="47"/>
      <c r="B28" s="12">
        <v>234064401</v>
      </c>
      <c r="C28" s="19" t="s">
        <v>80</v>
      </c>
    </row>
    <row r="29" spans="1:3" x14ac:dyDescent="0.25">
      <c r="A29" s="47"/>
      <c r="B29" s="12">
        <v>234064501</v>
      </c>
      <c r="C29" s="19" t="s">
        <v>81</v>
      </c>
    </row>
    <row r="30" spans="1:3" x14ac:dyDescent="0.25">
      <c r="A30" s="47"/>
      <c r="B30" s="12">
        <v>234064601</v>
      </c>
      <c r="C30" s="19" t="s">
        <v>82</v>
      </c>
    </row>
    <row r="31" spans="1:3" x14ac:dyDescent="0.25">
      <c r="A31" s="47"/>
      <c r="B31" s="12">
        <v>234064701</v>
      </c>
      <c r="C31" s="19" t="s">
        <v>83</v>
      </c>
    </row>
    <row r="32" spans="1:3" x14ac:dyDescent="0.25">
      <c r="A32" s="47"/>
      <c r="B32" s="12">
        <v>234064801</v>
      </c>
      <c r="C32" s="19" t="s">
        <v>84</v>
      </c>
    </row>
    <row r="33" spans="1:3" ht="13.8" thickBot="1" x14ac:dyDescent="0.3">
      <c r="A33" s="40"/>
      <c r="B33" s="21">
        <v>234064901</v>
      </c>
      <c r="C33" s="20" t="s">
        <v>85</v>
      </c>
    </row>
    <row r="34" spans="1:3" x14ac:dyDescent="0.25">
      <c r="A34" s="39" t="s">
        <v>86</v>
      </c>
      <c r="B34" s="22">
        <v>234072001</v>
      </c>
      <c r="C34" s="18" t="s">
        <v>87</v>
      </c>
    </row>
    <row r="35" spans="1:3" x14ac:dyDescent="0.25">
      <c r="A35" s="47"/>
      <c r="B35" s="12">
        <v>234072101</v>
      </c>
      <c r="C35" s="19" t="s">
        <v>88</v>
      </c>
    </row>
    <row r="36" spans="1:3" x14ac:dyDescent="0.25">
      <c r="A36" s="47"/>
      <c r="B36" s="12">
        <v>234072201</v>
      </c>
      <c r="C36" s="19" t="s">
        <v>89</v>
      </c>
    </row>
    <row r="37" spans="1:3" x14ac:dyDescent="0.25">
      <c r="A37" s="47"/>
      <c r="B37" s="12">
        <v>234070401</v>
      </c>
      <c r="C37" s="19" t="s">
        <v>90</v>
      </c>
    </row>
    <row r="38" spans="1:3" x14ac:dyDescent="0.25">
      <c r="A38" s="47"/>
      <c r="B38" s="12">
        <v>234072601</v>
      </c>
      <c r="C38" s="19" t="s">
        <v>91</v>
      </c>
    </row>
    <row r="39" spans="1:3" x14ac:dyDescent="0.25">
      <c r="A39" s="47"/>
      <c r="B39" s="12">
        <v>234070301</v>
      </c>
      <c r="C39" s="19" t="s">
        <v>92</v>
      </c>
    </row>
    <row r="40" spans="1:3" x14ac:dyDescent="0.25">
      <c r="A40" s="47"/>
      <c r="B40" s="12">
        <v>234072701</v>
      </c>
      <c r="C40" s="19" t="s">
        <v>93</v>
      </c>
    </row>
    <row r="41" spans="1:3" x14ac:dyDescent="0.25">
      <c r="A41" s="47"/>
      <c r="B41" s="12">
        <v>234070501</v>
      </c>
      <c r="C41" s="19" t="s">
        <v>94</v>
      </c>
    </row>
    <row r="42" spans="1:3" x14ac:dyDescent="0.25">
      <c r="A42" s="47"/>
      <c r="B42" s="12">
        <v>234072801</v>
      </c>
      <c r="C42" s="19" t="s">
        <v>95</v>
      </c>
    </row>
    <row r="43" spans="1:3" x14ac:dyDescent="0.25">
      <c r="A43" s="47"/>
      <c r="B43" s="12">
        <v>234072901</v>
      </c>
      <c r="C43" s="19" t="s">
        <v>96</v>
      </c>
    </row>
    <row r="44" spans="1:3" x14ac:dyDescent="0.25">
      <c r="A44" s="47"/>
      <c r="B44" s="12">
        <v>234070601</v>
      </c>
      <c r="C44" s="19" t="s">
        <v>97</v>
      </c>
    </row>
    <row r="45" spans="1:3" x14ac:dyDescent="0.25">
      <c r="A45" s="47"/>
      <c r="B45" s="12">
        <v>234071101</v>
      </c>
      <c r="C45" s="19" t="s">
        <v>98</v>
      </c>
    </row>
    <row r="46" spans="1:3" x14ac:dyDescent="0.25">
      <c r="A46" s="47"/>
      <c r="B46" s="12">
        <v>234071201</v>
      </c>
      <c r="C46" s="19" t="s">
        <v>99</v>
      </c>
    </row>
    <row r="47" spans="1:3" x14ac:dyDescent="0.25">
      <c r="A47" s="47"/>
      <c r="B47" s="12">
        <v>234073001</v>
      </c>
      <c r="C47" s="19" t="s">
        <v>100</v>
      </c>
    </row>
    <row r="48" spans="1:3" x14ac:dyDescent="0.25">
      <c r="A48" s="47"/>
      <c r="B48" s="12">
        <v>234071801</v>
      </c>
      <c r="C48" s="19" t="s">
        <v>101</v>
      </c>
    </row>
    <row r="49" spans="1:3" x14ac:dyDescent="0.25">
      <c r="A49" s="47"/>
      <c r="B49" s="12">
        <v>234071401</v>
      </c>
      <c r="C49" s="19" t="s">
        <v>102</v>
      </c>
    </row>
    <row r="50" spans="1:3" x14ac:dyDescent="0.25">
      <c r="A50" s="47"/>
      <c r="B50" s="12">
        <v>234071501</v>
      </c>
      <c r="C50" s="19" t="s">
        <v>103</v>
      </c>
    </row>
    <row r="51" spans="1:3" x14ac:dyDescent="0.25">
      <c r="A51" s="47"/>
      <c r="B51" s="12">
        <v>234070201</v>
      </c>
      <c r="C51" s="19" t="s">
        <v>104</v>
      </c>
    </row>
    <row r="52" spans="1:3" x14ac:dyDescent="0.25">
      <c r="A52" s="47"/>
      <c r="B52" s="12">
        <v>234071601</v>
      </c>
      <c r="C52" s="19" t="s">
        <v>105</v>
      </c>
    </row>
    <row r="53" spans="1:3" x14ac:dyDescent="0.25">
      <c r="A53" s="47"/>
      <c r="B53" s="12">
        <v>234071901</v>
      </c>
      <c r="C53" s="19" t="s">
        <v>106</v>
      </c>
    </row>
    <row r="54" spans="1:3" x14ac:dyDescent="0.25">
      <c r="A54" s="47"/>
      <c r="B54" s="12">
        <v>234071901</v>
      </c>
      <c r="C54" s="19" t="s">
        <v>107</v>
      </c>
    </row>
    <row r="55" spans="1:3" x14ac:dyDescent="0.25">
      <c r="A55" s="47"/>
      <c r="B55" s="12">
        <v>234073201</v>
      </c>
      <c r="C55" s="19" t="s">
        <v>108</v>
      </c>
    </row>
    <row r="56" spans="1:3" x14ac:dyDescent="0.25">
      <c r="A56" s="47"/>
      <c r="B56" s="12">
        <v>234071701</v>
      </c>
      <c r="C56" s="19" t="s">
        <v>109</v>
      </c>
    </row>
    <row r="57" spans="1:3" ht="13.8" thickBot="1" x14ac:dyDescent="0.3">
      <c r="A57" s="40"/>
      <c r="B57" s="21">
        <v>234073301</v>
      </c>
      <c r="C57" s="20" t="s">
        <v>110</v>
      </c>
    </row>
    <row r="58" spans="1:3" x14ac:dyDescent="0.25">
      <c r="A58" s="39" t="s">
        <v>111</v>
      </c>
      <c r="B58" s="23">
        <v>234090301</v>
      </c>
      <c r="C58" s="18" t="s">
        <v>112</v>
      </c>
    </row>
    <row r="59" spans="1:3" x14ac:dyDescent="0.25">
      <c r="A59" s="47"/>
      <c r="B59" s="24">
        <v>234090201</v>
      </c>
      <c r="C59" s="19" t="s">
        <v>113</v>
      </c>
    </row>
    <row r="60" spans="1:3" x14ac:dyDescent="0.25">
      <c r="A60" s="47"/>
      <c r="B60" s="24">
        <v>234090501</v>
      </c>
      <c r="C60" s="19" t="s">
        <v>114</v>
      </c>
    </row>
    <row r="61" spans="1:3" ht="13.8" thickBot="1" x14ac:dyDescent="0.3">
      <c r="A61" s="40"/>
      <c r="B61" s="27">
        <v>234090601</v>
      </c>
      <c r="C61" s="20" t="s">
        <v>115</v>
      </c>
    </row>
    <row r="62" spans="1:3" x14ac:dyDescent="0.25">
      <c r="A62" s="47" t="s">
        <v>116</v>
      </c>
      <c r="B62" s="28">
        <v>234080101</v>
      </c>
      <c r="C62" s="29" t="s">
        <v>117</v>
      </c>
    </row>
    <row r="63" spans="1:3" ht="13.8" thickBot="1" x14ac:dyDescent="0.3">
      <c r="A63" s="47"/>
      <c r="B63" s="25">
        <v>234080401</v>
      </c>
      <c r="C63" s="26" t="s">
        <v>118</v>
      </c>
    </row>
    <row r="64" spans="1:3" ht="13.8" thickBot="1" x14ac:dyDescent="0.3">
      <c r="A64" s="32" t="s">
        <v>119</v>
      </c>
      <c r="B64" s="23">
        <v>234090407</v>
      </c>
      <c r="C64" s="18" t="s">
        <v>120</v>
      </c>
    </row>
    <row r="65" spans="1:3" ht="13.8" thickBot="1" x14ac:dyDescent="0.3">
      <c r="A65" s="31" t="s">
        <v>121</v>
      </c>
      <c r="B65" s="27">
        <v>2341101</v>
      </c>
      <c r="C65" s="20" t="s">
        <v>122</v>
      </c>
    </row>
    <row r="66" spans="1:3" x14ac:dyDescent="0.25">
      <c r="A66" s="39" t="s">
        <v>123</v>
      </c>
      <c r="B66" s="22">
        <v>2341301</v>
      </c>
      <c r="C66" s="18" t="s">
        <v>124</v>
      </c>
    </row>
    <row r="67" spans="1:3" ht="13.8" thickBot="1" x14ac:dyDescent="0.3">
      <c r="A67" s="40"/>
      <c r="B67" s="21">
        <v>2341302</v>
      </c>
      <c r="C67" s="20" t="s">
        <v>125</v>
      </c>
    </row>
    <row r="68" spans="1:3" x14ac:dyDescent="0.25">
      <c r="A68" s="39" t="s">
        <v>126</v>
      </c>
      <c r="B68" s="22">
        <v>2341401</v>
      </c>
      <c r="C68" s="18" t="s">
        <v>127</v>
      </c>
    </row>
    <row r="69" spans="1:3" ht="13.8" thickBot="1" x14ac:dyDescent="0.3">
      <c r="A69" s="40"/>
      <c r="B69" s="21">
        <v>2341402</v>
      </c>
      <c r="C69" s="20" t="s">
        <v>128</v>
      </c>
    </row>
    <row r="70" spans="1:3" ht="13.2" customHeight="1" x14ac:dyDescent="0.25">
      <c r="A70" s="41" t="s">
        <v>129</v>
      </c>
      <c r="B70" s="22">
        <v>2341202</v>
      </c>
      <c r="C70" s="18" t="s">
        <v>130</v>
      </c>
    </row>
    <row r="71" spans="1:3" x14ac:dyDescent="0.25">
      <c r="A71" s="42"/>
      <c r="B71" s="12">
        <v>2341205</v>
      </c>
      <c r="C71" s="19" t="s">
        <v>131</v>
      </c>
    </row>
    <row r="72" spans="1:3" x14ac:dyDescent="0.25">
      <c r="A72" s="42"/>
      <c r="B72" s="12">
        <v>2341201</v>
      </c>
      <c r="C72" s="19" t="s">
        <v>132</v>
      </c>
    </row>
    <row r="73" spans="1:3" ht="13.8" thickBot="1" x14ac:dyDescent="0.3">
      <c r="A73" s="43"/>
      <c r="B73" s="21">
        <v>234120108</v>
      </c>
      <c r="C73" s="20" t="s">
        <v>133</v>
      </c>
    </row>
  </sheetData>
  <sheetProtection sheet="1" objects="1" scenarios="1"/>
  <mergeCells count="8">
    <mergeCell ref="A68:A69"/>
    <mergeCell ref="A70:A73"/>
    <mergeCell ref="A5:A16"/>
    <mergeCell ref="A17:A33"/>
    <mergeCell ref="A34:A57"/>
    <mergeCell ref="A58:A61"/>
    <mergeCell ref="A62:A63"/>
    <mergeCell ref="A66:A67"/>
  </mergeCells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81160-DF18-4859-BC2B-043465390DC2}">
  <sheetPr codeName="Hoja2"/>
  <dimension ref="A1:L13"/>
  <sheetViews>
    <sheetView zoomScale="90" zoomScaleNormal="90" workbookViewId="0">
      <selection activeCell="F10" sqref="F10"/>
    </sheetView>
  </sheetViews>
  <sheetFormatPr baseColWidth="10" defaultColWidth="11.44140625" defaultRowHeight="14.4" x14ac:dyDescent="0.3"/>
  <cols>
    <col min="1" max="1" width="13.5546875" style="87" bestFit="1" customWidth="1"/>
    <col min="2" max="2" width="57.5546875" style="88" customWidth="1"/>
    <col min="3" max="4" width="11.44140625" style="88"/>
    <col min="5" max="5" width="33.5546875" style="87" customWidth="1"/>
    <col min="6" max="7" width="28.77734375" style="89" customWidth="1"/>
    <col min="8" max="8" width="25" style="90" customWidth="1"/>
    <col min="9" max="9" width="21.5546875" style="91" bestFit="1" customWidth="1"/>
    <col min="10" max="10" width="21.5546875" style="1" bestFit="1" customWidth="1"/>
    <col min="11" max="11" width="15.21875" style="1" customWidth="1"/>
    <col min="12" max="16384" width="11.44140625" style="1"/>
  </cols>
  <sheetData>
    <row r="1" spans="1:12" ht="11.4" x14ac:dyDescent="0.2">
      <c r="A1" s="2" t="s">
        <v>11</v>
      </c>
      <c r="B1" s="1" t="s">
        <v>9</v>
      </c>
      <c r="C1" s="1" t="s">
        <v>12</v>
      </c>
      <c r="D1" s="1" t="s">
        <v>13</v>
      </c>
      <c r="E1" s="2" t="s">
        <v>14</v>
      </c>
      <c r="F1" s="5" t="s">
        <v>15</v>
      </c>
      <c r="G1" s="5" t="s">
        <v>54</v>
      </c>
      <c r="H1" s="6" t="s">
        <v>16</v>
      </c>
      <c r="I1" s="1" t="s">
        <v>53</v>
      </c>
      <c r="L1" s="1" t="s">
        <v>17</v>
      </c>
    </row>
    <row r="2" spans="1:12" s="3" customFormat="1" ht="11.4" x14ac:dyDescent="0.3">
      <c r="A2" s="53" t="s">
        <v>193</v>
      </c>
      <c r="B2" s="54" t="s">
        <v>136</v>
      </c>
      <c r="C2" s="55" t="s">
        <v>21</v>
      </c>
      <c r="D2" s="55" t="s">
        <v>138</v>
      </c>
      <c r="E2" s="54" t="s">
        <v>194</v>
      </c>
      <c r="F2" s="54"/>
      <c r="G2" s="54"/>
      <c r="H2" s="92" t="str">
        <f>_xlfn.CONCAT(CUENTAS[[#This Row],[RUC]],CUENTAS[[#This Row],[BANCO]],CUENTAS[[#This Row],[MONEDA]])</f>
        <v>20523824598SCOTIABANKSOL</v>
      </c>
      <c r="I2" s="93" t="str">
        <f>_xlfn.CONCAT(CUENTAS[[#This Row],[RUC]],CUENTAS[[#This Row],[MONEDA]])</f>
        <v>20523824598SOL</v>
      </c>
      <c r="L2" s="3" t="s">
        <v>19</v>
      </c>
    </row>
    <row r="3" spans="1:12" s="3" customFormat="1" x14ac:dyDescent="0.3">
      <c r="A3" s="87"/>
      <c r="B3" s="88"/>
      <c r="C3" s="88"/>
      <c r="D3" s="88"/>
      <c r="E3" s="87"/>
      <c r="F3" s="89"/>
      <c r="G3" s="89"/>
      <c r="H3" s="90"/>
      <c r="I3" s="91"/>
      <c r="L3" s="3" t="s">
        <v>18</v>
      </c>
    </row>
    <row r="4" spans="1:12" s="3" customFormat="1" x14ac:dyDescent="0.3">
      <c r="A4" s="87"/>
      <c r="B4" s="88"/>
      <c r="C4" s="88"/>
      <c r="D4" s="88"/>
      <c r="E4" s="87"/>
      <c r="F4" s="89"/>
      <c r="G4" s="89"/>
      <c r="H4" s="90"/>
      <c r="I4" s="91"/>
      <c r="L4" s="3" t="s">
        <v>20</v>
      </c>
    </row>
    <row r="5" spans="1:12" s="3" customFormat="1" x14ac:dyDescent="0.3">
      <c r="A5" s="87"/>
      <c r="B5" s="88"/>
      <c r="C5" s="88"/>
      <c r="D5" s="88"/>
      <c r="E5" s="87"/>
      <c r="F5" s="89"/>
      <c r="G5" s="89"/>
      <c r="H5" s="90"/>
      <c r="I5" s="91"/>
      <c r="L5" s="3" t="s">
        <v>21</v>
      </c>
    </row>
    <row r="6" spans="1:12" s="3" customFormat="1" x14ac:dyDescent="0.3">
      <c r="A6" s="87"/>
      <c r="B6" s="88"/>
      <c r="C6" s="88"/>
      <c r="D6" s="88"/>
      <c r="E6" s="87"/>
      <c r="F6" s="89"/>
      <c r="G6" s="89"/>
      <c r="H6" s="90"/>
      <c r="I6" s="91"/>
    </row>
    <row r="7" spans="1:12" s="3" customFormat="1" x14ac:dyDescent="0.3">
      <c r="A7" s="87"/>
      <c r="B7" s="88"/>
      <c r="C7" s="88"/>
      <c r="D7" s="88"/>
      <c r="E7" s="87"/>
      <c r="F7" s="89"/>
      <c r="G7" s="89"/>
      <c r="H7" s="90"/>
      <c r="I7" s="91"/>
    </row>
    <row r="8" spans="1:12" s="3" customFormat="1" x14ac:dyDescent="0.3">
      <c r="A8" s="87"/>
      <c r="B8" s="88"/>
      <c r="C8" s="88"/>
      <c r="D8" s="88"/>
      <c r="E8" s="87"/>
      <c r="F8" s="89"/>
      <c r="G8" s="89"/>
      <c r="H8" s="90"/>
      <c r="I8" s="91"/>
    </row>
    <row r="9" spans="1:12" s="3" customFormat="1" x14ac:dyDescent="0.3">
      <c r="A9" s="87"/>
      <c r="B9" s="88"/>
      <c r="C9" s="88"/>
      <c r="D9" s="88"/>
      <c r="E9" s="87"/>
      <c r="F9" s="89"/>
      <c r="G9" s="89"/>
      <c r="H9" s="90"/>
      <c r="I9" s="91"/>
    </row>
    <row r="10" spans="1:12" s="3" customFormat="1" x14ac:dyDescent="0.3">
      <c r="A10" s="87"/>
      <c r="B10" s="88"/>
      <c r="C10" s="88"/>
      <c r="D10" s="88"/>
      <c r="E10" s="87"/>
      <c r="F10" s="89"/>
      <c r="G10" s="89"/>
      <c r="H10" s="90"/>
      <c r="I10" s="91"/>
    </row>
    <row r="11" spans="1:12" s="3" customFormat="1" x14ac:dyDescent="0.3">
      <c r="A11" s="87"/>
      <c r="B11" s="88"/>
      <c r="C11" s="88"/>
      <c r="D11" s="88"/>
      <c r="E11" s="87"/>
      <c r="F11" s="89"/>
      <c r="G11" s="89"/>
      <c r="H11" s="90"/>
      <c r="I11" s="91"/>
    </row>
    <row r="12" spans="1:12" s="3" customFormat="1" x14ac:dyDescent="0.3">
      <c r="A12" s="87"/>
      <c r="B12" s="88"/>
      <c r="C12" s="88"/>
      <c r="D12" s="88"/>
      <c r="E12" s="87"/>
      <c r="F12" s="89"/>
      <c r="G12" s="89"/>
      <c r="H12" s="90"/>
      <c r="I12" s="91"/>
    </row>
    <row r="13" spans="1:12" s="3" customFormat="1" x14ac:dyDescent="0.3">
      <c r="A13" s="87"/>
      <c r="B13" s="88"/>
      <c r="C13" s="88"/>
      <c r="D13" s="88"/>
      <c r="E13" s="87"/>
      <c r="F13" s="89"/>
      <c r="G13" s="89"/>
      <c r="H13" s="90"/>
      <c r="I13" s="91"/>
      <c r="K13" s="4"/>
    </row>
  </sheetData>
  <sheetProtection formatCells="0" formatColumns="0" formatRows="0" insertRows="0" insertHyperlinks="0" deleteRows="0" sort="0" autoFilter="0" pivotTables="0"/>
  <phoneticPr fontId="6" type="noConversion"/>
  <conditionalFormatting sqref="A2">
    <cfRule type="duplicateValues" dxfId="37" priority="26"/>
  </conditionalFormatting>
  <pageMargins left="0.7" right="0.7" top="0.75" bottom="0.75" header="0.3" footer="0.3"/>
  <legacy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8861F-D533-4797-A09D-BD4247B9D973}">
  <sheetPr codeName="Hoja18">
    <tabColor rgb="FFFF0066"/>
  </sheetPr>
  <dimension ref="A1:AH20"/>
  <sheetViews>
    <sheetView tabSelected="1" zoomScale="70" zoomScaleNormal="70" workbookViewId="0">
      <pane ySplit="1" topLeftCell="A2" activePane="bottomLeft" state="frozen"/>
      <selection pane="bottomLeft" activeCell="J5" sqref="J5"/>
    </sheetView>
  </sheetViews>
  <sheetFormatPr baseColWidth="10" defaultColWidth="16" defaultRowHeight="14.55" customHeight="1" outlineLevelCol="1" x14ac:dyDescent="0.25"/>
  <cols>
    <col min="1" max="1" width="14" style="79" customWidth="1"/>
    <col min="2" max="2" width="11.5546875" style="80" customWidth="1"/>
    <col min="3" max="3" width="10.5546875" style="57" customWidth="1"/>
    <col min="4" max="4" width="10.5546875" style="81" customWidth="1"/>
    <col min="5" max="5" width="12" style="57" customWidth="1"/>
    <col min="6" max="6" width="10.21875" style="57" customWidth="1"/>
    <col min="7" max="7" width="10.88671875" style="82" customWidth="1"/>
    <col min="8" max="8" width="21.6640625" style="81" customWidth="1"/>
    <col min="9" max="9" width="20.77734375" style="83" customWidth="1"/>
    <col min="10" max="10" width="44.21875" style="57" customWidth="1"/>
    <col min="11" max="11" width="28" style="57" customWidth="1"/>
    <col min="12" max="12" width="15.21875" style="81" customWidth="1"/>
    <col min="13" max="13" width="33.77734375" style="11" customWidth="1"/>
    <col min="14" max="14" width="77" style="57" customWidth="1"/>
    <col min="15" max="15" width="29.5546875" style="57" customWidth="1"/>
    <col min="16" max="16" width="11" style="57" customWidth="1"/>
    <col min="17" max="17" width="13.5546875" style="57" customWidth="1"/>
    <col min="18" max="18" width="11.21875" style="11" customWidth="1"/>
    <col min="19" max="19" width="12.88671875" style="86" customWidth="1"/>
    <col min="20" max="20" width="8.44140625" style="14" customWidth="1"/>
    <col min="21" max="21" width="16.5546875" style="11" customWidth="1"/>
    <col min="22" max="22" width="16" style="15"/>
    <col min="23" max="23" width="8.21875" style="57" customWidth="1" outlineLevel="1"/>
    <col min="24" max="24" width="16.77734375" style="57" customWidth="1" outlineLevel="1"/>
    <col min="25" max="25" width="16.5546875" style="11" customWidth="1" outlineLevel="1"/>
    <col min="26" max="26" width="16.5546875" style="57" customWidth="1" outlineLevel="1"/>
    <col min="27" max="27" width="16.77734375" style="57" customWidth="1" outlineLevel="1"/>
    <col min="28" max="28" width="10.21875" style="16" customWidth="1" outlineLevel="1"/>
    <col min="29" max="29" width="13" style="14" customWidth="1"/>
    <col min="30" max="30" width="16" style="11"/>
    <col min="31" max="31" width="24.33203125" style="11" customWidth="1"/>
    <col min="32" max="32" width="18.77734375" style="11" customWidth="1"/>
    <col min="33" max="33" width="16" style="17"/>
    <col min="34" max="34" width="16" style="14"/>
    <col min="35" max="16384" width="16" style="57"/>
  </cols>
  <sheetData>
    <row r="1" spans="1:34" s="56" customFormat="1" ht="70.2" customHeight="1" thickBot="1" x14ac:dyDescent="0.35">
      <c r="A1" s="66" t="s">
        <v>22</v>
      </c>
      <c r="B1" s="66" t="s">
        <v>23</v>
      </c>
      <c r="C1" s="67" t="s">
        <v>24</v>
      </c>
      <c r="D1" s="67" t="s">
        <v>25</v>
      </c>
      <c r="E1" s="67" t="s">
        <v>26</v>
      </c>
      <c r="F1" s="67" t="s">
        <v>27</v>
      </c>
      <c r="G1" s="68" t="s">
        <v>28</v>
      </c>
      <c r="H1" s="67" t="s">
        <v>29</v>
      </c>
      <c r="I1" s="69" t="s">
        <v>11</v>
      </c>
      <c r="J1" s="67" t="s">
        <v>30</v>
      </c>
      <c r="K1" s="67" t="s">
        <v>31</v>
      </c>
      <c r="L1" s="67" t="s">
        <v>32</v>
      </c>
      <c r="M1" s="58" t="s">
        <v>33</v>
      </c>
      <c r="N1" s="67" t="s">
        <v>34</v>
      </c>
      <c r="O1" s="67" t="s">
        <v>35</v>
      </c>
      <c r="P1" s="67" t="s">
        <v>13</v>
      </c>
      <c r="Q1" s="84" t="s">
        <v>36</v>
      </c>
      <c r="R1" s="59" t="s">
        <v>37</v>
      </c>
      <c r="S1" s="85" t="s">
        <v>38</v>
      </c>
      <c r="T1" s="59" t="s">
        <v>10</v>
      </c>
      <c r="U1" s="59" t="s">
        <v>39</v>
      </c>
      <c r="V1" s="59" t="s">
        <v>40</v>
      </c>
      <c r="W1" s="69" t="s">
        <v>41</v>
      </c>
      <c r="X1" s="67" t="s">
        <v>42</v>
      </c>
      <c r="Y1" s="58" t="s">
        <v>43</v>
      </c>
      <c r="Z1" s="67" t="s">
        <v>143</v>
      </c>
      <c r="AA1" s="67" t="s">
        <v>44</v>
      </c>
      <c r="AB1" s="59" t="s">
        <v>45</v>
      </c>
      <c r="AC1" s="58" t="s">
        <v>12</v>
      </c>
      <c r="AD1" s="58" t="s">
        <v>46</v>
      </c>
      <c r="AE1" s="58" t="s">
        <v>15</v>
      </c>
      <c r="AF1" s="58" t="s">
        <v>47</v>
      </c>
      <c r="AG1" s="60" t="s">
        <v>48</v>
      </c>
      <c r="AH1" s="60" t="s">
        <v>49</v>
      </c>
    </row>
    <row r="2" spans="1:34" ht="14.55" customHeight="1" thickTop="1" x14ac:dyDescent="0.3">
      <c r="A2" s="70">
        <v>45873</v>
      </c>
      <c r="B2" s="71"/>
      <c r="C2" s="71"/>
      <c r="D2" s="72">
        <v>45693</v>
      </c>
      <c r="E2" s="73" t="str">
        <f>IF(AND(B2&lt;&gt;"",C2&lt;&gt;""),"PAGADO",IF(AND(B2="",C2&lt;&gt;""),"ERROR",IF(AND(B2&lt;&gt;"",C2=""),"ENVIADO","")))</f>
        <v/>
      </c>
      <c r="F2" s="74" t="s">
        <v>3</v>
      </c>
      <c r="G2" s="75" t="s">
        <v>152</v>
      </c>
      <c r="H2" s="76">
        <v>964617</v>
      </c>
      <c r="I2" s="49" t="s">
        <v>154</v>
      </c>
      <c r="J2" s="73" t="s">
        <v>155</v>
      </c>
      <c r="K2" s="77" t="s">
        <v>151</v>
      </c>
      <c r="L2" s="78"/>
      <c r="M2" s="61" t="str">
        <f>IFERROR(VLOOKUP(L2,PC!$B$4:$C$73,2,0),"&lt;=== SELECCIONAR PC")</f>
        <v>&lt;=== SELECCIONAR PC</v>
      </c>
      <c r="N2" s="94" t="s">
        <v>153</v>
      </c>
      <c r="O2" s="74" t="s">
        <v>146</v>
      </c>
      <c r="P2" s="74" t="s">
        <v>148</v>
      </c>
      <c r="Q2" s="51">
        <v>675.09</v>
      </c>
      <c r="R2" s="63">
        <f>IF(OR(F2="FACTURA",F2="BOLETA"),(Q2*0.18),IF(F2="RXH",IF(Q2&gt;1500,(-Q2*0.08),0),IF(OR(F2="INVOICE",F2="RECIBO",F2="OTROS SIN IGV"),0,IF(F2="CAJA CHICA",0))))</f>
        <v>121.5162</v>
      </c>
      <c r="S2" s="51">
        <v>796.61</v>
      </c>
      <c r="T2" s="63">
        <f>IFERROR((VLOOKUP(A2,TC!$A$1:$C$157,3,FALSE)),"-")</f>
        <v>3.5880000000000001</v>
      </c>
      <c r="U2" s="64">
        <f>IFERROR(IF(P2="SOL",IF(Q2=0,S2,Q2),IF(AND(P2&lt;&gt;"DOLARES",P2&lt;&gt;"DÓLARES"),"-",IF(Q2=0,S2*T2,Q2*T2))),"-")</f>
        <v>2422.2229200000002</v>
      </c>
      <c r="V2" s="63">
        <f>IFERROR(IF(P2="SOL",S2,IF(OR(P2="DOLARES",P2="DÓLARES"),S2*T2,"-")),"-")</f>
        <v>2858.23668</v>
      </c>
      <c r="W2" s="49" t="s">
        <v>139</v>
      </c>
      <c r="X2" s="50"/>
      <c r="Y2" s="63">
        <f>IFERROR(Tabla3[[#This Row],[PORCENTAJE]]*Tabla3[[#This Row],[IMPORTE]],0)</f>
        <v>0</v>
      </c>
      <c r="Z2" s="51"/>
      <c r="AA2" s="52"/>
      <c r="AB2" s="63">
        <f>Tabla3[[#This Row],[IMPORTE]]-Tabla3[[#This Row],[DETRACCION]]-Tabla3[[#This Row],[FG]]-Tabla3[[#This Row],[DESCUENTOS]]</f>
        <v>796.61</v>
      </c>
      <c r="AC2" s="62" t="str">
        <f>IFERROR(INDEX(CUENTAS[BANCO],MATCH(_xlfn.CONCAT(Tabla3[[#This Row],[RUC]],Tabla3[[#This Row],[MONEDA]]),CUENTAS[BUSQUEDA],0)),"--")</f>
        <v>--</v>
      </c>
      <c r="AD2" s="61" t="str">
        <f>IFERROR(INDEX(CUENTAS[CC/CA],MATCH(_xlfn.CONCAT(Tabla3[[#This Row],[RUC]],Tabla3[[#This Row],[MONEDA]]),CUENTAS[BUSQUEDA],0)),"--")</f>
        <v>--</v>
      </c>
      <c r="AE2" s="61" t="str">
        <f>IFERROR(INDEX(CUENTAS[CCI], MATCH(_xlfn.CONCAT(Tabla3[[#This Row],[RUC]], Tabla3[[#This Row],[MONEDA]]), CUENTAS[BUSQUEDA], 0)),"--")</f>
        <v>--</v>
      </c>
      <c r="AF2" s="61" t="str">
        <f>IFERROR(VLOOKUP(Tabla3[[#This Row],[RUC]],CUENTAS[#All],7,0),"--")</f>
        <v>--</v>
      </c>
      <c r="AG2" s="65" t="str">
        <f>+UPPER(TEXT(Tabla3[[#This Row],[F. PROVISIÓN]],"mmm"))</f>
        <v>AGO</v>
      </c>
      <c r="AH2" s="61">
        <f>+YEAR(Tabla3[[#This Row],[F. PROVISIÓN]])</f>
        <v>2025</v>
      </c>
    </row>
    <row r="3" spans="1:34" ht="14.55" customHeight="1" x14ac:dyDescent="0.3">
      <c r="A3" s="70">
        <v>45873</v>
      </c>
      <c r="B3" s="71"/>
      <c r="C3" s="71"/>
      <c r="D3" s="72">
        <v>45741</v>
      </c>
      <c r="E3" s="73" t="str">
        <f>IF(AND(B3&lt;&gt;"",C3&lt;&gt;""),"PAGADO",IF(AND(B3="",C3&lt;&gt;""),"ERROR",IF(AND(B3&lt;&gt;"",C3=""),"ENVIADO","")))</f>
        <v/>
      </c>
      <c r="F3" s="74" t="s">
        <v>3</v>
      </c>
      <c r="G3" s="75" t="s">
        <v>152</v>
      </c>
      <c r="H3" s="76">
        <v>983212</v>
      </c>
      <c r="I3" s="49" t="s">
        <v>154</v>
      </c>
      <c r="J3" s="73" t="s">
        <v>155</v>
      </c>
      <c r="K3" s="77" t="s">
        <v>151</v>
      </c>
      <c r="L3" s="78"/>
      <c r="M3" s="61" t="str">
        <f>IFERROR(VLOOKUP(L3,PC!$B$4:$C$73,2,0),"&lt;=== SELECCIONAR PC")</f>
        <v>&lt;=== SELECCIONAR PC</v>
      </c>
      <c r="N3" s="94" t="s">
        <v>156</v>
      </c>
      <c r="O3" s="74" t="s">
        <v>146</v>
      </c>
      <c r="P3" s="74" t="s">
        <v>148</v>
      </c>
      <c r="Q3" s="51">
        <v>1318.03</v>
      </c>
      <c r="R3" s="63">
        <f>IF(OR(F3="FACTURA",F3="BOLETA"),(Q3*0.18),IF(F3="RXH",IF(Q3&gt;1500,(-Q3*0.08),0),IF(OR(F3="INVOICE",F3="RECIBO",F3="OTROS SIN IGV"),0,IF(F3="CAJA CHICA",0))))</f>
        <v>237.24539999999999</v>
      </c>
      <c r="S3" s="51">
        <v>1555.28</v>
      </c>
      <c r="T3" s="63">
        <f>IFERROR((VLOOKUP(A3,TC!$A$1:$C$157,3,FALSE)),"-")</f>
        <v>3.5880000000000001</v>
      </c>
      <c r="U3" s="64">
        <f>IFERROR(IF(P3="SOL",IF(Q3=0,S3,Q3),IF(AND(P3&lt;&gt;"DOLARES",P3&lt;&gt;"DÓLARES"),"-",IF(Q3=0,S3*T3,Q3*T3))),"-")</f>
        <v>4729.0916399999996</v>
      </c>
      <c r="V3" s="63">
        <f>IFERROR(IF(P3="SOL",S3,IF(OR(P3="DOLARES",P3="DÓLARES"),S3*T3,"-")),"-")</f>
        <v>5580.3446400000003</v>
      </c>
      <c r="W3" s="49" t="s">
        <v>139</v>
      </c>
      <c r="X3" s="50"/>
      <c r="Y3" s="63">
        <f>IFERROR(Tabla3[[#This Row],[PORCENTAJE]]*Tabla3[[#This Row],[IMPORTE]],0)</f>
        <v>0</v>
      </c>
      <c r="Z3" s="51"/>
      <c r="AA3" s="52"/>
      <c r="AB3" s="63">
        <f>Tabla3[[#This Row],[IMPORTE]]-Tabla3[[#This Row],[DETRACCION]]-Tabla3[[#This Row],[FG]]-Tabla3[[#This Row],[DESCUENTOS]]</f>
        <v>1555.28</v>
      </c>
      <c r="AC3" s="62" t="str">
        <f>IFERROR(INDEX(CUENTAS[BANCO],MATCH(_xlfn.CONCAT(Tabla3[[#This Row],[RUC]],Tabla3[[#This Row],[MONEDA]]),CUENTAS[BUSQUEDA],0)),"--")</f>
        <v>--</v>
      </c>
      <c r="AD3" s="61" t="str">
        <f>IFERROR(INDEX(CUENTAS[CC/CA],MATCH(_xlfn.CONCAT(Tabla3[[#This Row],[RUC]],Tabla3[[#This Row],[MONEDA]]),CUENTAS[BUSQUEDA],0)),"--")</f>
        <v>--</v>
      </c>
      <c r="AE3" s="61" t="str">
        <f>IFERROR(INDEX(CUENTAS[CCI], MATCH(_xlfn.CONCAT(Tabla3[[#This Row],[RUC]], Tabla3[[#This Row],[MONEDA]]), CUENTAS[BUSQUEDA], 0)),"--")</f>
        <v>--</v>
      </c>
      <c r="AF3" s="61" t="str">
        <f>IFERROR(VLOOKUP(Tabla3[[#This Row],[RUC]],CUENTAS[#All],7,0),"--")</f>
        <v>--</v>
      </c>
      <c r="AG3" s="65" t="str">
        <f>+UPPER(TEXT(Tabla3[[#This Row],[F. PROVISIÓN]],"mmm"))</f>
        <v>AGO</v>
      </c>
      <c r="AH3" s="61">
        <f>+YEAR(Tabla3[[#This Row],[F. PROVISIÓN]])</f>
        <v>2025</v>
      </c>
    </row>
    <row r="4" spans="1:34" ht="14.55" customHeight="1" x14ac:dyDescent="0.3">
      <c r="A4" s="70">
        <v>45873</v>
      </c>
      <c r="B4" s="71"/>
      <c r="C4" s="71"/>
      <c r="D4" s="72">
        <v>45729</v>
      </c>
      <c r="E4" s="73" t="str">
        <f>IF(AND(B4&lt;&gt;"",C4&lt;&gt;""),"PAGADO",IF(AND(B4="",C4&lt;&gt;""),"ERROR",IF(AND(B4&lt;&gt;"",C4=""),"ENVIADO","")))</f>
        <v/>
      </c>
      <c r="F4" s="74" t="s">
        <v>4</v>
      </c>
      <c r="G4" s="75" t="s">
        <v>157</v>
      </c>
      <c r="H4" s="76">
        <v>10</v>
      </c>
      <c r="I4" s="49" t="s">
        <v>159</v>
      </c>
      <c r="J4" s="73" t="s">
        <v>160</v>
      </c>
      <c r="K4" s="77" t="s">
        <v>141</v>
      </c>
      <c r="L4" s="78"/>
      <c r="M4" s="61" t="str">
        <f>IFERROR(VLOOKUP(L4,PC!$B$4:$C$73,2,0),"&lt;=== SELECCIONAR PC")</f>
        <v>&lt;=== SELECCIONAR PC</v>
      </c>
      <c r="N4" s="94" t="s">
        <v>158</v>
      </c>
      <c r="O4" s="74" t="s">
        <v>136</v>
      </c>
      <c r="P4" s="74" t="s">
        <v>138</v>
      </c>
      <c r="Q4" s="51">
        <v>0</v>
      </c>
      <c r="R4" s="63">
        <f>IF(OR(F4="FACTURA",F4="BOLETA"),(Q4*0.18),IF(F4="RXH",IF(Q4&gt;1500,(-Q4*0.08),0),IF(OR(F4="INVOICE",F4="RECIBO",F4="OTROS SIN IGV"),0,IF(F4="CAJA CHICA",0))))</f>
        <v>0</v>
      </c>
      <c r="S4" s="51">
        <v>2677.2</v>
      </c>
      <c r="T4" s="63">
        <f>IFERROR((VLOOKUP(A4,TC!$A$1:$C$157,3,FALSE)),"-")</f>
        <v>3.5880000000000001</v>
      </c>
      <c r="U4" s="64">
        <f>IFERROR(IF(P4="SOL",IF(Q4=0,S4,Q4),IF(AND(P4&lt;&gt;"DOLARES",P4&lt;&gt;"DÓLARES"),"-",IF(Q4=0,S4*T4,Q4*T4))),"-")</f>
        <v>2677.2</v>
      </c>
      <c r="V4" s="63">
        <f>IFERROR(IF(P4="SOL",S4,IF(OR(P4="DOLARES",P4="DÓLARES"),S4*T4,"-")),"-")</f>
        <v>2677.2</v>
      </c>
      <c r="W4" s="49" t="s">
        <v>139</v>
      </c>
      <c r="X4" s="50"/>
      <c r="Y4" s="63">
        <f>IFERROR(Tabla3[[#This Row],[PORCENTAJE]]*Tabla3[[#This Row],[IMPORTE]],0)</f>
        <v>0</v>
      </c>
      <c r="Z4" s="51"/>
      <c r="AA4" s="52"/>
      <c r="AB4" s="63">
        <f>Tabla3[[#This Row],[IMPORTE]]-Tabla3[[#This Row],[DETRACCION]]-Tabla3[[#This Row],[FG]]-Tabla3[[#This Row],[DESCUENTOS]]</f>
        <v>2677.2</v>
      </c>
      <c r="AC4" s="62" t="str">
        <f>IFERROR(INDEX(CUENTAS[BANCO],MATCH(_xlfn.CONCAT(Tabla3[[#This Row],[RUC]],Tabla3[[#This Row],[MONEDA]]),CUENTAS[BUSQUEDA],0)),"--")</f>
        <v>--</v>
      </c>
      <c r="AD4" s="61" t="str">
        <f>IFERROR(INDEX(CUENTAS[CC/CA],MATCH(_xlfn.CONCAT(Tabla3[[#This Row],[RUC]],Tabla3[[#This Row],[MONEDA]]),CUENTAS[BUSQUEDA],0)),"--")</f>
        <v>--</v>
      </c>
      <c r="AE4" s="61" t="str">
        <f>IFERROR(INDEX(CUENTAS[CCI], MATCH(_xlfn.CONCAT(Tabla3[[#This Row],[RUC]], Tabla3[[#This Row],[MONEDA]]), CUENTAS[BUSQUEDA], 0)),"--")</f>
        <v>--</v>
      </c>
      <c r="AF4" s="61" t="str">
        <f>IFERROR(VLOOKUP(Tabla3[[#This Row],[RUC]],CUENTAS[#All],7,0),"--")</f>
        <v>--</v>
      </c>
      <c r="AG4" s="65" t="str">
        <f>+UPPER(TEXT(Tabla3[[#This Row],[F. PROVISIÓN]],"mmm"))</f>
        <v>AGO</v>
      </c>
      <c r="AH4" s="61">
        <f>+YEAR(Tabla3[[#This Row],[F. PROVISIÓN]])</f>
        <v>2025</v>
      </c>
    </row>
    <row r="5" spans="1:34" ht="14.55" customHeight="1" x14ac:dyDescent="0.3">
      <c r="A5" s="70">
        <v>45873</v>
      </c>
      <c r="B5" s="71"/>
      <c r="C5" s="71"/>
      <c r="D5" s="72">
        <v>45721</v>
      </c>
      <c r="E5" s="73" t="str">
        <f>IF(AND(B5&lt;&gt;"",C5&lt;&gt;""),"PAGADO",IF(AND(B5="",C5&lt;&gt;""),"ERROR",IF(AND(B5&lt;&gt;"",C5=""),"ENVIADO","")))</f>
        <v/>
      </c>
      <c r="F5" s="74" t="s">
        <v>4</v>
      </c>
      <c r="G5" s="75" t="s">
        <v>157</v>
      </c>
      <c r="H5" s="76">
        <v>5</v>
      </c>
      <c r="I5" s="49" t="s">
        <v>159</v>
      </c>
      <c r="J5" s="73" t="s">
        <v>160</v>
      </c>
      <c r="K5" s="77" t="s">
        <v>141</v>
      </c>
      <c r="L5" s="78"/>
      <c r="M5" s="61" t="str">
        <f>IFERROR(VLOOKUP(L5,PC!$B$4:$C$73,2,0),"&lt;=== SELECCIONAR PC")</f>
        <v>&lt;=== SELECCIONAR PC</v>
      </c>
      <c r="N5" s="94" t="s">
        <v>161</v>
      </c>
      <c r="O5" s="74" t="s">
        <v>136</v>
      </c>
      <c r="P5" s="74" t="s">
        <v>138</v>
      </c>
      <c r="Q5" s="51">
        <v>0</v>
      </c>
      <c r="R5" s="63">
        <f>IF(OR(F5="FACTURA",F5="BOLETA"),(Q5*0.18),IF(F5="RXH",IF(Q5&gt;1500,(-Q5*0.08),0),IF(OR(F5="INVOICE",F5="RECIBO",F5="OTROS SIN IGV"),0,IF(F5="CAJA CHICA",0))))</f>
        <v>0</v>
      </c>
      <c r="S5" s="51">
        <v>1800</v>
      </c>
      <c r="T5" s="63">
        <f>IFERROR((VLOOKUP(A5,TC!$A$1:$C$157,3,FALSE)),"-")</f>
        <v>3.5880000000000001</v>
      </c>
      <c r="U5" s="64">
        <f>IFERROR(IF(P5="SOL",IF(Q5=0,S5,Q5),IF(AND(P5&lt;&gt;"DOLARES",P5&lt;&gt;"DÓLARES"),"-",IF(Q5=0,S5*T5,Q5*T5))),"-")</f>
        <v>1800</v>
      </c>
      <c r="V5" s="63">
        <f>IFERROR(IF(P5="SOL",S5,IF(OR(P5="DOLARES",P5="DÓLARES"),S5*T5,"-")),"-")</f>
        <v>1800</v>
      </c>
      <c r="W5" s="49" t="s">
        <v>139</v>
      </c>
      <c r="X5" s="50"/>
      <c r="Y5" s="63">
        <f>IFERROR(Tabla3[[#This Row],[PORCENTAJE]]*Tabla3[[#This Row],[IMPORTE]],0)</f>
        <v>0</v>
      </c>
      <c r="Z5" s="51"/>
      <c r="AA5" s="52"/>
      <c r="AB5" s="63">
        <f>Tabla3[[#This Row],[IMPORTE]]-Tabla3[[#This Row],[DETRACCION]]-Tabla3[[#This Row],[FG]]-Tabla3[[#This Row],[DESCUENTOS]]</f>
        <v>1800</v>
      </c>
      <c r="AC5" s="62" t="str">
        <f>IFERROR(INDEX(CUENTAS[BANCO],MATCH(_xlfn.CONCAT(Tabla3[[#This Row],[RUC]],Tabla3[[#This Row],[MONEDA]]),CUENTAS[BUSQUEDA],0)),"--")</f>
        <v>--</v>
      </c>
      <c r="AD5" s="61" t="str">
        <f>IFERROR(INDEX(CUENTAS[CC/CA],MATCH(_xlfn.CONCAT(Tabla3[[#This Row],[RUC]],Tabla3[[#This Row],[MONEDA]]),CUENTAS[BUSQUEDA],0)),"--")</f>
        <v>--</v>
      </c>
      <c r="AE5" s="61" t="str">
        <f>IFERROR(INDEX(CUENTAS[CCI], MATCH(_xlfn.CONCAT(Tabla3[[#This Row],[RUC]], Tabla3[[#This Row],[MONEDA]]), CUENTAS[BUSQUEDA], 0)),"--")</f>
        <v>--</v>
      </c>
      <c r="AF5" s="61" t="str">
        <f>IFERROR(VLOOKUP(Tabla3[[#This Row],[RUC]],CUENTAS[#All],7,0),"--")</f>
        <v>--</v>
      </c>
      <c r="AG5" s="65" t="str">
        <f>+UPPER(TEXT(Tabla3[[#This Row],[F. PROVISIÓN]],"mmm"))</f>
        <v>AGO</v>
      </c>
      <c r="AH5" s="61">
        <f>+YEAR(Tabla3[[#This Row],[F. PROVISIÓN]])</f>
        <v>2025</v>
      </c>
    </row>
    <row r="6" spans="1:34" ht="14.55" customHeight="1" x14ac:dyDescent="0.3">
      <c r="A6" s="70">
        <v>45873</v>
      </c>
      <c r="B6" s="71"/>
      <c r="C6" s="71"/>
      <c r="D6" s="72">
        <v>45810</v>
      </c>
      <c r="E6" s="73" t="str">
        <f>IF(AND(B6&lt;&gt;"",C6&lt;&gt;""),"PAGADO",IF(AND(B6="",C6&lt;&gt;""),"ERROR",IF(AND(B6&lt;&gt;"",C6=""),"ENVIADO","")))</f>
        <v/>
      </c>
      <c r="F6" s="74" t="s">
        <v>3</v>
      </c>
      <c r="G6" s="75" t="s">
        <v>162</v>
      </c>
      <c r="H6" s="76">
        <v>280312</v>
      </c>
      <c r="I6" s="49" t="s">
        <v>165</v>
      </c>
      <c r="J6" s="73" t="s">
        <v>166</v>
      </c>
      <c r="K6" s="77" t="s">
        <v>167</v>
      </c>
      <c r="L6" s="78"/>
      <c r="M6" s="61" t="str">
        <f>IFERROR(VLOOKUP(L6,PC!$B$4:$C$73,2,0),"&lt;=== SELECCIONAR PC")</f>
        <v>&lt;=== SELECCIONAR PC</v>
      </c>
      <c r="N6" s="94" t="s">
        <v>163</v>
      </c>
      <c r="O6" s="74" t="s">
        <v>164</v>
      </c>
      <c r="P6" s="74" t="s">
        <v>138</v>
      </c>
      <c r="Q6" s="51">
        <v>169.49</v>
      </c>
      <c r="R6" s="63">
        <f>IF(OR(F6="FACTURA",F6="BOLETA"),(Q6*0.18),IF(F6="RXH",IF(Q6&gt;1500,(-Q6*0.08),0),IF(OR(F6="INVOICE",F6="RECIBO",F6="OTROS SIN IGV"),0,IF(F6="CAJA CHICA",0))))</f>
        <v>30.508200000000002</v>
      </c>
      <c r="S6" s="51">
        <v>200</v>
      </c>
      <c r="T6" s="63">
        <f>IFERROR((VLOOKUP(A6,TC!$A$1:$C$157,3,FALSE)),"-")</f>
        <v>3.5880000000000001</v>
      </c>
      <c r="U6" s="64">
        <f>IFERROR(IF(P6="SOL",IF(Q6=0,S6,Q6),IF(AND(P6&lt;&gt;"DOLARES",P6&lt;&gt;"DÓLARES"),"-",IF(Q6=0,S6*T6,Q6*T6))),"-")</f>
        <v>169.49</v>
      </c>
      <c r="V6" s="63">
        <f>IFERROR(IF(P6="SOL",S6,IF(OR(P6="DOLARES",P6="DÓLARES"),S6*T6,"-")),"-")</f>
        <v>200</v>
      </c>
      <c r="W6" s="49" t="s">
        <v>139</v>
      </c>
      <c r="X6" s="50"/>
      <c r="Y6" s="63">
        <f>IFERROR(Tabla3[[#This Row],[PORCENTAJE]]*Tabla3[[#This Row],[IMPORTE]],0)</f>
        <v>0</v>
      </c>
      <c r="Z6" s="51"/>
      <c r="AA6" s="52"/>
      <c r="AB6" s="63">
        <f>Tabla3[[#This Row],[IMPORTE]]-Tabla3[[#This Row],[DETRACCION]]-Tabla3[[#This Row],[FG]]-Tabla3[[#This Row],[DESCUENTOS]]</f>
        <v>200</v>
      </c>
      <c r="AC6" s="62" t="str">
        <f>IFERROR(INDEX(CUENTAS[BANCO],MATCH(_xlfn.CONCAT(Tabla3[[#This Row],[RUC]],Tabla3[[#This Row],[MONEDA]]),CUENTAS[BUSQUEDA],0)),"--")</f>
        <v>--</v>
      </c>
      <c r="AD6" s="61" t="str">
        <f>IFERROR(INDEX(CUENTAS[CC/CA],MATCH(_xlfn.CONCAT(Tabla3[[#This Row],[RUC]],Tabla3[[#This Row],[MONEDA]]),CUENTAS[BUSQUEDA],0)),"--")</f>
        <v>--</v>
      </c>
      <c r="AE6" s="61" t="str">
        <f>IFERROR(INDEX(CUENTAS[CCI], MATCH(_xlfn.CONCAT(Tabla3[[#This Row],[RUC]], Tabla3[[#This Row],[MONEDA]]), CUENTAS[BUSQUEDA], 0)),"--")</f>
        <v>--</v>
      </c>
      <c r="AF6" s="61" t="str">
        <f>IFERROR(VLOOKUP(Tabla3[[#This Row],[RUC]],CUENTAS[#All],7,0),"--")</f>
        <v>--</v>
      </c>
      <c r="AG6" s="65" t="str">
        <f>+UPPER(TEXT(Tabla3[[#This Row],[F. PROVISIÓN]],"mmm"))</f>
        <v>AGO</v>
      </c>
      <c r="AH6" s="61">
        <f>+YEAR(Tabla3[[#This Row],[F. PROVISIÓN]])</f>
        <v>2025</v>
      </c>
    </row>
    <row r="7" spans="1:34" ht="14.55" customHeight="1" x14ac:dyDescent="0.3">
      <c r="A7" s="70">
        <v>45873</v>
      </c>
      <c r="B7" s="71"/>
      <c r="C7" s="71"/>
      <c r="D7" s="72">
        <v>45755</v>
      </c>
      <c r="E7" s="73" t="str">
        <f>IF(AND(B7&lt;&gt;"",C7&lt;&gt;""),"PAGADO",IF(AND(B7="",C7&lt;&gt;""),"ERROR",IF(AND(B7&lt;&gt;"",C7=""),"ENVIADO","")))</f>
        <v/>
      </c>
      <c r="F7" s="74" t="s">
        <v>3</v>
      </c>
      <c r="G7" s="75" t="s">
        <v>152</v>
      </c>
      <c r="H7" s="76">
        <v>989020</v>
      </c>
      <c r="I7" s="49" t="s">
        <v>154</v>
      </c>
      <c r="J7" s="73" t="s">
        <v>155</v>
      </c>
      <c r="K7" s="77" t="s">
        <v>151</v>
      </c>
      <c r="L7" s="78"/>
      <c r="M7" s="61" t="str">
        <f>IFERROR(VLOOKUP(L7,PC!$B$4:$C$73,2,0),"&lt;=== SELECCIONAR PC")</f>
        <v>&lt;=== SELECCIONAR PC</v>
      </c>
      <c r="N7" s="94" t="s">
        <v>153</v>
      </c>
      <c r="O7" s="74" t="s">
        <v>146</v>
      </c>
      <c r="P7" s="74" t="s">
        <v>148</v>
      </c>
      <c r="Q7" s="51">
        <v>960.09</v>
      </c>
      <c r="R7" s="63">
        <f>IF(OR(F7="FACTURA",F7="BOLETA"),(Q7*0.18),IF(F7="RXH",IF(Q7&gt;1500,(-Q7*0.08),0),IF(OR(F7="INVOICE",F7="RECIBO",F7="OTROS SIN IGV"),0,IF(F7="CAJA CHICA",0))))</f>
        <v>172.81620000000001</v>
      </c>
      <c r="S7" s="51">
        <v>1132.9100000000001</v>
      </c>
      <c r="T7" s="63">
        <f>IFERROR((VLOOKUP(A7,TC!$A$1:$C$157,3,FALSE)),"-")</f>
        <v>3.5880000000000001</v>
      </c>
      <c r="U7" s="64">
        <f>IFERROR(IF(P7="SOL",IF(Q7=0,S7,Q7),IF(AND(P7&lt;&gt;"DOLARES",P7&lt;&gt;"DÓLARES"),"-",IF(Q7=0,S7*T7,Q7*T7))),"-")</f>
        <v>3444.8029200000001</v>
      </c>
      <c r="V7" s="63">
        <f>IFERROR(IF(P7="SOL",S7,IF(OR(P7="DOLARES",P7="DÓLARES"),S7*T7,"-")),"-")</f>
        <v>4064.8810800000006</v>
      </c>
      <c r="W7" s="49" t="s">
        <v>139</v>
      </c>
      <c r="X7" s="50"/>
      <c r="Y7" s="63">
        <f>IFERROR(Tabla3[[#This Row],[PORCENTAJE]]*Tabla3[[#This Row],[IMPORTE]],0)</f>
        <v>0</v>
      </c>
      <c r="Z7" s="51"/>
      <c r="AA7" s="52"/>
      <c r="AB7" s="63">
        <f>Tabla3[[#This Row],[IMPORTE]]-Tabla3[[#This Row],[DETRACCION]]-Tabla3[[#This Row],[FG]]-Tabla3[[#This Row],[DESCUENTOS]]</f>
        <v>1132.9100000000001</v>
      </c>
      <c r="AC7" s="62" t="str">
        <f>IFERROR(INDEX(CUENTAS[BANCO],MATCH(_xlfn.CONCAT(Tabla3[[#This Row],[RUC]],Tabla3[[#This Row],[MONEDA]]),CUENTAS[BUSQUEDA],0)),"--")</f>
        <v>--</v>
      </c>
      <c r="AD7" s="61" t="str">
        <f>IFERROR(INDEX(CUENTAS[CC/CA],MATCH(_xlfn.CONCAT(Tabla3[[#This Row],[RUC]],Tabla3[[#This Row],[MONEDA]]),CUENTAS[BUSQUEDA],0)),"--")</f>
        <v>--</v>
      </c>
      <c r="AE7" s="61" t="str">
        <f>IFERROR(INDEX(CUENTAS[CCI], MATCH(_xlfn.CONCAT(Tabla3[[#This Row],[RUC]], Tabla3[[#This Row],[MONEDA]]), CUENTAS[BUSQUEDA], 0)),"--")</f>
        <v>--</v>
      </c>
      <c r="AF7" s="61" t="str">
        <f>IFERROR(VLOOKUP(Tabla3[[#This Row],[RUC]],CUENTAS[#All],7,0),"--")</f>
        <v>--</v>
      </c>
      <c r="AG7" s="65" t="str">
        <f>+UPPER(TEXT(Tabla3[[#This Row],[F. PROVISIÓN]],"mmm"))</f>
        <v>AGO</v>
      </c>
      <c r="AH7" s="61">
        <f>+YEAR(Tabla3[[#This Row],[F. PROVISIÓN]])</f>
        <v>2025</v>
      </c>
    </row>
    <row r="8" spans="1:34" ht="14.55" customHeight="1" x14ac:dyDescent="0.3">
      <c r="A8" s="70">
        <v>45873</v>
      </c>
      <c r="B8" s="71"/>
      <c r="C8" s="71"/>
      <c r="D8" s="72">
        <v>45792</v>
      </c>
      <c r="E8" s="73" t="str">
        <f>IF(AND(B8&lt;&gt;"",C8&lt;&gt;""),"PAGADO",IF(AND(B8="",C8&lt;&gt;""),"ERROR",IF(AND(B8&lt;&gt;"",C8=""),"ENVIADO","")))</f>
        <v/>
      </c>
      <c r="F8" s="74" t="s">
        <v>3</v>
      </c>
      <c r="G8" s="75" t="s">
        <v>152</v>
      </c>
      <c r="H8" s="76">
        <v>1000671</v>
      </c>
      <c r="I8" s="49" t="s">
        <v>154</v>
      </c>
      <c r="J8" s="73" t="s">
        <v>155</v>
      </c>
      <c r="K8" s="77" t="s">
        <v>141</v>
      </c>
      <c r="L8" s="78"/>
      <c r="M8" s="61" t="str">
        <f>IFERROR(VLOOKUP(L8,PC!$B$4:$C$73,2,0),"&lt;=== SELECCIONAR PC")</f>
        <v>&lt;=== SELECCIONAR PC</v>
      </c>
      <c r="N8" s="94" t="s">
        <v>168</v>
      </c>
      <c r="O8" s="74" t="s">
        <v>136</v>
      </c>
      <c r="P8" s="74" t="s">
        <v>148</v>
      </c>
      <c r="Q8" s="51">
        <v>918.68</v>
      </c>
      <c r="R8" s="63">
        <f>IF(OR(F8="FACTURA",F8="BOLETA"),(Q8*0.18),IF(F8="RXH",IF(Q8&gt;1500,(-Q8*0.08),0),IF(OR(F8="INVOICE",F8="RECIBO",F8="OTROS SIN IGV"),0,IF(F8="CAJA CHICA",0))))</f>
        <v>165.36239999999998</v>
      </c>
      <c r="S8" s="51">
        <v>1084.04</v>
      </c>
      <c r="T8" s="63">
        <f>IFERROR((VLOOKUP(A8,TC!$A$1:$C$157,3,FALSE)),"-")</f>
        <v>3.5880000000000001</v>
      </c>
      <c r="U8" s="64">
        <f>IFERROR(IF(P8="SOL",IF(Q8=0,S8,Q8),IF(AND(P8&lt;&gt;"DOLARES",P8&lt;&gt;"DÓLARES"),"-",IF(Q8=0,S8*T8,Q8*T8))),"-")</f>
        <v>3296.2238400000001</v>
      </c>
      <c r="V8" s="63">
        <f>IFERROR(IF(P8="SOL",S8,IF(OR(P8="DOLARES",P8="DÓLARES"),S8*T8,"-")),"-")</f>
        <v>3889.5355199999999</v>
      </c>
      <c r="W8" s="49" t="s">
        <v>139</v>
      </c>
      <c r="X8" s="50"/>
      <c r="Y8" s="63">
        <f>IFERROR(Tabla3[[#This Row],[PORCENTAJE]]*Tabla3[[#This Row],[IMPORTE]],0)</f>
        <v>0</v>
      </c>
      <c r="Z8" s="51"/>
      <c r="AA8" s="52"/>
      <c r="AB8" s="63">
        <f>Tabla3[[#This Row],[IMPORTE]]-Tabla3[[#This Row],[DETRACCION]]-Tabla3[[#This Row],[FG]]-Tabla3[[#This Row],[DESCUENTOS]]</f>
        <v>1084.04</v>
      </c>
      <c r="AC8" s="62" t="str">
        <f>IFERROR(INDEX(CUENTAS[BANCO],MATCH(_xlfn.CONCAT(Tabla3[[#This Row],[RUC]],Tabla3[[#This Row],[MONEDA]]),CUENTAS[BUSQUEDA],0)),"--")</f>
        <v>--</v>
      </c>
      <c r="AD8" s="61" t="str">
        <f>IFERROR(INDEX(CUENTAS[CC/CA],MATCH(_xlfn.CONCAT(Tabla3[[#This Row],[RUC]],Tabla3[[#This Row],[MONEDA]]),CUENTAS[BUSQUEDA],0)),"--")</f>
        <v>--</v>
      </c>
      <c r="AE8" s="61" t="str">
        <f>IFERROR(INDEX(CUENTAS[CCI], MATCH(_xlfn.CONCAT(Tabla3[[#This Row],[RUC]], Tabla3[[#This Row],[MONEDA]]), CUENTAS[BUSQUEDA], 0)),"--")</f>
        <v>--</v>
      </c>
      <c r="AF8" s="61" t="str">
        <f>IFERROR(VLOOKUP(Tabla3[[#This Row],[RUC]],CUENTAS[#All],7,0),"--")</f>
        <v>--</v>
      </c>
      <c r="AG8" s="65" t="str">
        <f>+UPPER(TEXT(Tabla3[[#This Row],[F. PROVISIÓN]],"mmm"))</f>
        <v>AGO</v>
      </c>
      <c r="AH8" s="61">
        <f>+YEAR(Tabla3[[#This Row],[F. PROVISIÓN]])</f>
        <v>2025</v>
      </c>
    </row>
    <row r="9" spans="1:34" ht="14.55" customHeight="1" x14ac:dyDescent="0.3">
      <c r="A9" s="70">
        <v>45873</v>
      </c>
      <c r="B9" s="71"/>
      <c r="C9" s="71"/>
      <c r="D9" s="72">
        <v>45748</v>
      </c>
      <c r="E9" s="73" t="str">
        <f>IF(AND(B9&lt;&gt;"",C9&lt;&gt;""),"PAGADO",IF(AND(B9="",C9&lt;&gt;""),"ERROR",IF(AND(B9&lt;&gt;"",C9=""),"ENVIADO","")))</f>
        <v/>
      </c>
      <c r="F9" s="74" t="s">
        <v>3</v>
      </c>
      <c r="G9" s="75" t="s">
        <v>169</v>
      </c>
      <c r="H9" s="76">
        <v>24983</v>
      </c>
      <c r="I9" s="49" t="s">
        <v>171</v>
      </c>
      <c r="J9" s="73" t="s">
        <v>172</v>
      </c>
      <c r="K9" s="77" t="s">
        <v>141</v>
      </c>
      <c r="L9" s="78"/>
      <c r="M9" s="61" t="str">
        <f>IFERROR(VLOOKUP(L9,PC!$B$4:$C$73,2,0),"&lt;=== SELECCIONAR PC")</f>
        <v>&lt;=== SELECCIONAR PC</v>
      </c>
      <c r="N9" s="94" t="s">
        <v>170</v>
      </c>
      <c r="O9" s="74" t="s">
        <v>136</v>
      </c>
      <c r="P9" s="74" t="s">
        <v>138</v>
      </c>
      <c r="Q9" s="51">
        <v>134.84</v>
      </c>
      <c r="R9" s="63">
        <f>IF(OR(F9="FACTURA",F9="BOLETA"),(Q9*0.18),IF(F9="RXH",IF(Q9&gt;1500,(-Q9*0.08),0),IF(OR(F9="INVOICE",F9="RECIBO",F9="OTROS SIN IGV"),0,IF(F9="CAJA CHICA",0))))</f>
        <v>24.2712</v>
      </c>
      <c r="S9" s="51">
        <v>159.11000000000001</v>
      </c>
      <c r="T9" s="63">
        <f>IFERROR((VLOOKUP(A9,TC!$A$1:$C$157,3,FALSE)),"-")</f>
        <v>3.5880000000000001</v>
      </c>
      <c r="U9" s="64">
        <f>IFERROR(IF(P9="SOL",IF(Q9=0,S9,Q9),IF(AND(P9&lt;&gt;"DOLARES",P9&lt;&gt;"DÓLARES"),"-",IF(Q9=0,S9*T9,Q9*T9))),"-")</f>
        <v>134.84</v>
      </c>
      <c r="V9" s="63">
        <f>IFERROR(IF(P9="SOL",S9,IF(OR(P9="DOLARES",P9="DÓLARES"),S9*T9,"-")),"-")</f>
        <v>159.11000000000001</v>
      </c>
      <c r="W9" s="49" t="s">
        <v>139</v>
      </c>
      <c r="X9" s="50"/>
      <c r="Y9" s="63">
        <f>IFERROR(Tabla3[[#This Row],[PORCENTAJE]]*Tabla3[[#This Row],[IMPORTE]],0)</f>
        <v>0</v>
      </c>
      <c r="Z9" s="51"/>
      <c r="AA9" s="52"/>
      <c r="AB9" s="63">
        <f>Tabla3[[#This Row],[IMPORTE]]-Tabla3[[#This Row],[DETRACCION]]-Tabla3[[#This Row],[FG]]-Tabla3[[#This Row],[DESCUENTOS]]</f>
        <v>159.11000000000001</v>
      </c>
      <c r="AC9" s="62" t="str">
        <f>IFERROR(INDEX(CUENTAS[BANCO],MATCH(_xlfn.CONCAT(Tabla3[[#This Row],[RUC]],Tabla3[[#This Row],[MONEDA]]),CUENTAS[BUSQUEDA],0)),"--")</f>
        <v>--</v>
      </c>
      <c r="AD9" s="61" t="str">
        <f>IFERROR(INDEX(CUENTAS[CC/CA],MATCH(_xlfn.CONCAT(Tabla3[[#This Row],[RUC]],Tabla3[[#This Row],[MONEDA]]),CUENTAS[BUSQUEDA],0)),"--")</f>
        <v>--</v>
      </c>
      <c r="AE9" s="61" t="str">
        <f>IFERROR(INDEX(CUENTAS[CCI], MATCH(_xlfn.CONCAT(Tabla3[[#This Row],[RUC]], Tabla3[[#This Row],[MONEDA]]), CUENTAS[BUSQUEDA], 0)),"--")</f>
        <v>--</v>
      </c>
      <c r="AF9" s="61" t="str">
        <f>IFERROR(VLOOKUP(Tabla3[[#This Row],[RUC]],CUENTAS[#All],7,0),"--")</f>
        <v>--</v>
      </c>
      <c r="AG9" s="65" t="str">
        <f>+UPPER(TEXT(Tabla3[[#This Row],[F. PROVISIÓN]],"mmm"))</f>
        <v>AGO</v>
      </c>
      <c r="AH9" s="61">
        <f>+YEAR(Tabla3[[#This Row],[F. PROVISIÓN]])</f>
        <v>2025</v>
      </c>
    </row>
    <row r="10" spans="1:34" ht="14.55" customHeight="1" x14ac:dyDescent="0.3">
      <c r="A10" s="70">
        <v>45873</v>
      </c>
      <c r="B10" s="71"/>
      <c r="C10" s="71"/>
      <c r="D10" s="72">
        <v>45695</v>
      </c>
      <c r="E10" s="73" t="str">
        <f>IF(AND(B10&lt;&gt;"",C10&lt;&gt;""),"PAGADO",IF(AND(B10="",C10&lt;&gt;""),"ERROR",IF(AND(B10&lt;&gt;"",C10=""),"ENVIADO","")))</f>
        <v/>
      </c>
      <c r="F10" s="74" t="s">
        <v>3</v>
      </c>
      <c r="G10" s="75" t="s">
        <v>173</v>
      </c>
      <c r="H10" s="76">
        <v>13594</v>
      </c>
      <c r="I10" s="49" t="s">
        <v>176</v>
      </c>
      <c r="J10" s="73" t="s">
        <v>177</v>
      </c>
      <c r="K10" s="77" t="s">
        <v>141</v>
      </c>
      <c r="L10" s="78"/>
      <c r="M10" s="61" t="str">
        <f>IFERROR(VLOOKUP(L10,PC!$B$4:$C$73,2,0),"&lt;=== SELECCIONAR PC")</f>
        <v>&lt;=== SELECCIONAR PC</v>
      </c>
      <c r="N10" s="94" t="s">
        <v>174</v>
      </c>
      <c r="O10" s="74" t="s">
        <v>175</v>
      </c>
      <c r="P10" s="74" t="s">
        <v>138</v>
      </c>
      <c r="Q10" s="51">
        <v>350.42</v>
      </c>
      <c r="R10" s="63">
        <f>IF(OR(F10="FACTURA",F10="BOLETA"),(Q10*0.18),IF(F10="RXH",IF(Q10&gt;1500,(-Q10*0.08),0),IF(OR(F10="INVOICE",F10="RECIBO",F10="OTROS SIN IGV"),0,IF(F10="CAJA CHICA",0))))</f>
        <v>63.075600000000001</v>
      </c>
      <c r="S10" s="51">
        <v>413.5</v>
      </c>
      <c r="T10" s="63">
        <f>IFERROR((VLOOKUP(A10,TC!$A$1:$C$157,3,FALSE)),"-")</f>
        <v>3.5880000000000001</v>
      </c>
      <c r="U10" s="64">
        <f>IFERROR(IF(P10="SOL",IF(Q10=0,S10,Q10),IF(AND(P10&lt;&gt;"DOLARES",P10&lt;&gt;"DÓLARES"),"-",IF(Q10=0,S10*T10,Q10*T10))),"-")</f>
        <v>350.42</v>
      </c>
      <c r="V10" s="63">
        <f>IFERROR(IF(P10="SOL",S10,IF(OR(P10="DOLARES",P10="DÓLARES"),S10*T10,"-")),"-")</f>
        <v>413.5</v>
      </c>
      <c r="W10" s="49" t="s">
        <v>139</v>
      </c>
      <c r="X10" s="50"/>
      <c r="Y10" s="63">
        <f>IFERROR(Tabla3[[#This Row],[PORCENTAJE]]*Tabla3[[#This Row],[IMPORTE]],0)</f>
        <v>0</v>
      </c>
      <c r="Z10" s="51"/>
      <c r="AA10" s="52"/>
      <c r="AB10" s="63">
        <f>Tabla3[[#This Row],[IMPORTE]]-Tabla3[[#This Row],[DETRACCION]]-Tabla3[[#This Row],[FG]]-Tabla3[[#This Row],[DESCUENTOS]]</f>
        <v>413.5</v>
      </c>
      <c r="AC10" s="62" t="str">
        <f>IFERROR(INDEX(CUENTAS[BANCO],MATCH(_xlfn.CONCAT(Tabla3[[#This Row],[RUC]],Tabla3[[#This Row],[MONEDA]]),CUENTAS[BUSQUEDA],0)),"--")</f>
        <v>--</v>
      </c>
      <c r="AD10" s="61" t="str">
        <f>IFERROR(INDEX(CUENTAS[CC/CA],MATCH(_xlfn.CONCAT(Tabla3[[#This Row],[RUC]],Tabla3[[#This Row],[MONEDA]]),CUENTAS[BUSQUEDA],0)),"--")</f>
        <v>--</v>
      </c>
      <c r="AE10" s="61" t="str">
        <f>IFERROR(INDEX(CUENTAS[CCI], MATCH(_xlfn.CONCAT(Tabla3[[#This Row],[RUC]], Tabla3[[#This Row],[MONEDA]]), CUENTAS[BUSQUEDA], 0)),"--")</f>
        <v>--</v>
      </c>
      <c r="AF10" s="61" t="str">
        <f>IFERROR(VLOOKUP(Tabla3[[#This Row],[RUC]],CUENTAS[#All],7,0),"--")</f>
        <v>--</v>
      </c>
      <c r="AG10" s="65" t="str">
        <f>+UPPER(TEXT(Tabla3[[#This Row],[F. PROVISIÓN]],"mmm"))</f>
        <v>AGO</v>
      </c>
      <c r="AH10" s="61">
        <f>+YEAR(Tabla3[[#This Row],[F. PROVISIÓN]])</f>
        <v>2025</v>
      </c>
    </row>
    <row r="11" spans="1:34" ht="14.55" customHeight="1" x14ac:dyDescent="0.3">
      <c r="A11" s="70">
        <v>45873</v>
      </c>
      <c r="B11" s="71"/>
      <c r="C11" s="71"/>
      <c r="D11" s="72">
        <v>45751</v>
      </c>
      <c r="E11" s="73" t="str">
        <f>IF(AND(B11&lt;&gt;"",C11&lt;&gt;""),"PAGADO",IF(AND(B11="",C11&lt;&gt;""),"ERROR",IF(AND(B11&lt;&gt;"",C11=""),"ENVIADO","")))</f>
        <v/>
      </c>
      <c r="F11" s="74" t="s">
        <v>3</v>
      </c>
      <c r="G11" s="75" t="s">
        <v>173</v>
      </c>
      <c r="H11" s="76">
        <v>14371</v>
      </c>
      <c r="I11" s="49" t="s">
        <v>176</v>
      </c>
      <c r="J11" s="73" t="s">
        <v>177</v>
      </c>
      <c r="K11" s="77" t="s">
        <v>141</v>
      </c>
      <c r="L11" s="78"/>
      <c r="M11" s="61" t="str">
        <f>IFERROR(VLOOKUP(L11,PC!$B$4:$C$73,2,0),"&lt;=== SELECCIONAR PC")</f>
        <v>&lt;=== SELECCIONAR PC</v>
      </c>
      <c r="N11" s="94" t="s">
        <v>178</v>
      </c>
      <c r="O11" s="74" t="s">
        <v>175</v>
      </c>
      <c r="P11" s="74" t="s">
        <v>138</v>
      </c>
      <c r="Q11" s="51">
        <v>356.78</v>
      </c>
      <c r="R11" s="63">
        <f>IF(OR(F11="FACTURA",F11="BOLETA"),(Q11*0.18),IF(F11="RXH",IF(Q11&gt;1500,(-Q11*0.08),0),IF(OR(F11="INVOICE",F11="RECIBO",F11="OTROS SIN IGV"),0,IF(F11="CAJA CHICA",0))))</f>
        <v>64.220399999999998</v>
      </c>
      <c r="S11" s="51">
        <v>421</v>
      </c>
      <c r="T11" s="63">
        <f>IFERROR((VLOOKUP(A11,TC!$A$1:$C$157,3,FALSE)),"-")</f>
        <v>3.5880000000000001</v>
      </c>
      <c r="U11" s="64">
        <f>IFERROR(IF(P11="SOL",IF(Q11=0,S11,Q11),IF(AND(P11&lt;&gt;"DOLARES",P11&lt;&gt;"DÓLARES"),"-",IF(Q11=0,S11*T11,Q11*T11))),"-")</f>
        <v>356.78</v>
      </c>
      <c r="V11" s="63">
        <f>IFERROR(IF(P11="SOL",S11,IF(OR(P11="DOLARES",P11="DÓLARES"),S11*T11,"-")),"-")</f>
        <v>421</v>
      </c>
      <c r="W11" s="49" t="s">
        <v>139</v>
      </c>
      <c r="X11" s="50"/>
      <c r="Y11" s="63">
        <f>IFERROR(Tabla3[[#This Row],[PORCENTAJE]]*Tabla3[[#This Row],[IMPORTE]],0)</f>
        <v>0</v>
      </c>
      <c r="Z11" s="51"/>
      <c r="AA11" s="52"/>
      <c r="AB11" s="63">
        <f>Tabla3[[#This Row],[IMPORTE]]-Tabla3[[#This Row],[DETRACCION]]-Tabla3[[#This Row],[FG]]-Tabla3[[#This Row],[DESCUENTOS]]</f>
        <v>421</v>
      </c>
      <c r="AC11" s="62" t="str">
        <f>IFERROR(INDEX(CUENTAS[BANCO],MATCH(_xlfn.CONCAT(Tabla3[[#This Row],[RUC]],Tabla3[[#This Row],[MONEDA]]),CUENTAS[BUSQUEDA],0)),"--")</f>
        <v>--</v>
      </c>
      <c r="AD11" s="61" t="str">
        <f>IFERROR(INDEX(CUENTAS[CC/CA],MATCH(_xlfn.CONCAT(Tabla3[[#This Row],[RUC]],Tabla3[[#This Row],[MONEDA]]),CUENTAS[BUSQUEDA],0)),"--")</f>
        <v>--</v>
      </c>
      <c r="AE11" s="61" t="str">
        <f>IFERROR(INDEX(CUENTAS[CCI], MATCH(_xlfn.CONCAT(Tabla3[[#This Row],[RUC]], Tabla3[[#This Row],[MONEDA]]), CUENTAS[BUSQUEDA], 0)),"--")</f>
        <v>--</v>
      </c>
      <c r="AF11" s="61" t="str">
        <f>IFERROR(VLOOKUP(Tabla3[[#This Row],[RUC]],CUENTAS[#All],7,0),"--")</f>
        <v>--</v>
      </c>
      <c r="AG11" s="65" t="str">
        <f>+UPPER(TEXT(Tabla3[[#This Row],[F. PROVISIÓN]],"mmm"))</f>
        <v>AGO</v>
      </c>
      <c r="AH11" s="61">
        <f>+YEAR(Tabla3[[#This Row],[F. PROVISIÓN]])</f>
        <v>2025</v>
      </c>
    </row>
    <row r="12" spans="1:34" ht="14.55" customHeight="1" x14ac:dyDescent="0.3">
      <c r="A12" s="70">
        <v>45873</v>
      </c>
      <c r="B12" s="71"/>
      <c r="C12" s="71"/>
      <c r="D12" s="72">
        <v>45679</v>
      </c>
      <c r="E12" s="73" t="str">
        <f>IF(AND(B12&lt;&gt;"",C12&lt;&gt;""),"PAGADO",IF(AND(B12="",C12&lt;&gt;""),"ERROR",IF(AND(B12&lt;&gt;"",C12=""),"ENVIADO","")))</f>
        <v/>
      </c>
      <c r="F12" s="74" t="s">
        <v>3</v>
      </c>
      <c r="G12" s="75" t="s">
        <v>134</v>
      </c>
      <c r="H12" s="76">
        <v>63386</v>
      </c>
      <c r="I12" s="49" t="s">
        <v>137</v>
      </c>
      <c r="J12" s="73" t="s">
        <v>140</v>
      </c>
      <c r="K12" s="77" t="s">
        <v>141</v>
      </c>
      <c r="L12" s="78"/>
      <c r="M12" s="61" t="str">
        <f>IFERROR(VLOOKUP(L12,PC!$B$4:$C$73,2,0),"&lt;=== SELECCIONAR PC")</f>
        <v>&lt;=== SELECCIONAR PC</v>
      </c>
      <c r="N12" s="94" t="s">
        <v>135</v>
      </c>
      <c r="O12" s="74" t="s">
        <v>136</v>
      </c>
      <c r="P12" s="74" t="s">
        <v>138</v>
      </c>
      <c r="Q12" s="51">
        <v>3662.86</v>
      </c>
      <c r="R12" s="63">
        <f>IF(OR(F12="FACTURA",F12="BOLETA"),(Q12*0.18),IF(F12="RXH",IF(Q12&gt;1500,(-Q12*0.08),0),IF(OR(F12="INVOICE",F12="RECIBO",F12="OTROS SIN IGV"),0,IF(F12="CAJA CHICA",0))))</f>
        <v>659.31479999999999</v>
      </c>
      <c r="S12" s="51">
        <v>4322.17</v>
      </c>
      <c r="T12" s="63">
        <f>IFERROR((VLOOKUP(A12,TC!$A$1:$C$157,3,FALSE)),"-")</f>
        <v>3.5880000000000001</v>
      </c>
      <c r="U12" s="64">
        <f>IFERROR(IF(P12="SOL",IF(Q12=0,S12,Q12),IF(AND(P12&lt;&gt;"DOLARES",P12&lt;&gt;"DÓLARES"),"-",IF(Q12=0,S12*T12,Q12*T12))),"-")</f>
        <v>3662.86</v>
      </c>
      <c r="V12" s="63">
        <f>IFERROR(IF(P12="SOL",S12,IF(OR(P12="DOLARES",P12="DÓLARES"),S12*T12,"-")),"-")</f>
        <v>4322.17</v>
      </c>
      <c r="W12" s="49" t="s">
        <v>139</v>
      </c>
      <c r="X12" s="50"/>
      <c r="Y12" s="63">
        <f>IFERROR(Tabla3[[#This Row],[PORCENTAJE]]*Tabla3[[#This Row],[IMPORTE]],0)</f>
        <v>0</v>
      </c>
      <c r="Z12" s="51"/>
      <c r="AA12" s="52"/>
      <c r="AB12" s="63">
        <f>Tabla3[[#This Row],[IMPORTE]]-Tabla3[[#This Row],[DETRACCION]]-Tabla3[[#This Row],[FG]]-Tabla3[[#This Row],[DESCUENTOS]]</f>
        <v>4322.17</v>
      </c>
      <c r="AC12" s="62" t="str">
        <f>IFERROR(INDEX(CUENTAS[BANCO],MATCH(_xlfn.CONCAT(Tabla3[[#This Row],[RUC]],Tabla3[[#This Row],[MONEDA]]),CUENTAS[BUSQUEDA],0)),"--")</f>
        <v>--</v>
      </c>
      <c r="AD12" s="61" t="str">
        <f>IFERROR(INDEX(CUENTAS[CC/CA],MATCH(_xlfn.CONCAT(Tabla3[[#This Row],[RUC]],Tabla3[[#This Row],[MONEDA]]),CUENTAS[BUSQUEDA],0)),"--")</f>
        <v>--</v>
      </c>
      <c r="AE12" s="61" t="str">
        <f>IFERROR(INDEX(CUENTAS[CCI], MATCH(_xlfn.CONCAT(Tabla3[[#This Row],[RUC]], Tabla3[[#This Row],[MONEDA]]), CUENTAS[BUSQUEDA], 0)),"--")</f>
        <v>--</v>
      </c>
      <c r="AF12" s="61" t="str">
        <f>IFERROR(VLOOKUP(Tabla3[[#This Row],[RUC]],CUENTAS[#All],7,0),"--")</f>
        <v>--</v>
      </c>
      <c r="AG12" s="65" t="str">
        <f>+UPPER(TEXT(Tabla3[[#This Row],[F. PROVISIÓN]],"mmm"))</f>
        <v>AGO</v>
      </c>
      <c r="AH12" s="61">
        <f>+YEAR(Tabla3[[#This Row],[F. PROVISIÓN]])</f>
        <v>2025</v>
      </c>
    </row>
    <row r="13" spans="1:34" ht="14.55" customHeight="1" x14ac:dyDescent="0.3">
      <c r="A13" s="70">
        <v>45873</v>
      </c>
      <c r="B13" s="71"/>
      <c r="C13" s="71"/>
      <c r="D13" s="72">
        <v>45772</v>
      </c>
      <c r="E13" s="73" t="str">
        <f>IF(AND(B13&lt;&gt;"",C13&lt;&gt;""),"PAGADO",IF(AND(B13="",C13&lt;&gt;""),"ERROR",IF(AND(B13&lt;&gt;"",C13=""),"ENVIADO","")))</f>
        <v/>
      </c>
      <c r="F13" s="74" t="s">
        <v>3</v>
      </c>
      <c r="G13" s="75" t="s">
        <v>157</v>
      </c>
      <c r="H13" s="76">
        <v>264</v>
      </c>
      <c r="I13" s="49" t="s">
        <v>180</v>
      </c>
      <c r="J13" s="73" t="s">
        <v>181</v>
      </c>
      <c r="K13" s="77" t="s">
        <v>141</v>
      </c>
      <c r="L13" s="78"/>
      <c r="M13" s="61" t="str">
        <f>IFERROR(VLOOKUP(L13,PC!$B$4:$C$73,2,0),"&lt;=== SELECCIONAR PC")</f>
        <v>&lt;=== SELECCIONAR PC</v>
      </c>
      <c r="N13" s="94" t="s">
        <v>179</v>
      </c>
      <c r="O13" s="74" t="s">
        <v>136</v>
      </c>
      <c r="P13" s="74" t="s">
        <v>138</v>
      </c>
      <c r="Q13" s="51">
        <v>240</v>
      </c>
      <c r="R13" s="63">
        <f>IF(OR(F13="FACTURA",F13="BOLETA"),(Q13*0.18),IF(F13="RXH",IF(Q13&gt;1500,(-Q13*0.08),0),IF(OR(F13="INVOICE",F13="RECIBO",F13="OTROS SIN IGV"),0,IF(F13="CAJA CHICA",0))))</f>
        <v>43.199999999999996</v>
      </c>
      <c r="S13" s="51">
        <v>283.2</v>
      </c>
      <c r="T13" s="63">
        <f>IFERROR((VLOOKUP(A13,TC!$A$1:$C$157,3,FALSE)),"-")</f>
        <v>3.5880000000000001</v>
      </c>
      <c r="U13" s="64">
        <f>IFERROR(IF(P13="SOL",IF(Q13=0,S13,Q13),IF(AND(P13&lt;&gt;"DOLARES",P13&lt;&gt;"DÓLARES"),"-",IF(Q13=0,S13*T13,Q13*T13))),"-")</f>
        <v>240</v>
      </c>
      <c r="V13" s="63">
        <f>IFERROR(IF(P13="SOL",S13,IF(OR(P13="DOLARES",P13="DÓLARES"),S13*T13,"-")),"-")</f>
        <v>283.2</v>
      </c>
      <c r="W13" s="49" t="s">
        <v>139</v>
      </c>
      <c r="X13" s="50"/>
      <c r="Y13" s="63">
        <f>IFERROR(Tabla3[[#This Row],[PORCENTAJE]]*Tabla3[[#This Row],[IMPORTE]],0)</f>
        <v>0</v>
      </c>
      <c r="Z13" s="51"/>
      <c r="AA13" s="52"/>
      <c r="AB13" s="63">
        <f>Tabla3[[#This Row],[IMPORTE]]-Tabla3[[#This Row],[DETRACCION]]-Tabla3[[#This Row],[FG]]-Tabla3[[#This Row],[DESCUENTOS]]</f>
        <v>283.2</v>
      </c>
      <c r="AC13" s="62" t="str">
        <f>IFERROR(INDEX(CUENTAS[BANCO],MATCH(_xlfn.CONCAT(Tabla3[[#This Row],[RUC]],Tabla3[[#This Row],[MONEDA]]),CUENTAS[BUSQUEDA],0)),"--")</f>
        <v>--</v>
      </c>
      <c r="AD13" s="61" t="str">
        <f>IFERROR(INDEX(CUENTAS[CC/CA],MATCH(_xlfn.CONCAT(Tabla3[[#This Row],[RUC]],Tabla3[[#This Row],[MONEDA]]),CUENTAS[BUSQUEDA],0)),"--")</f>
        <v>--</v>
      </c>
      <c r="AE13" s="61" t="str">
        <f>IFERROR(INDEX(CUENTAS[CCI], MATCH(_xlfn.CONCAT(Tabla3[[#This Row],[RUC]], Tabla3[[#This Row],[MONEDA]]), CUENTAS[BUSQUEDA], 0)),"--")</f>
        <v>--</v>
      </c>
      <c r="AF13" s="61" t="str">
        <f>IFERROR(VLOOKUP(Tabla3[[#This Row],[RUC]],CUENTAS[#All],7,0),"--")</f>
        <v>--</v>
      </c>
      <c r="AG13" s="65" t="str">
        <f>+UPPER(TEXT(Tabla3[[#This Row],[F. PROVISIÓN]],"mmm"))</f>
        <v>AGO</v>
      </c>
      <c r="AH13" s="61">
        <f>+YEAR(Tabla3[[#This Row],[F. PROVISIÓN]])</f>
        <v>2025</v>
      </c>
    </row>
    <row r="14" spans="1:34" ht="14.55" customHeight="1" x14ac:dyDescent="0.3">
      <c r="A14" s="70">
        <v>45873</v>
      </c>
      <c r="B14" s="71"/>
      <c r="C14" s="71"/>
      <c r="D14" s="72">
        <v>45695</v>
      </c>
      <c r="E14" s="73" t="str">
        <f>IF(AND(B14&lt;&gt;"",C14&lt;&gt;""),"PAGADO",IF(AND(B14="",C14&lt;&gt;""),"ERROR",IF(AND(B14&lt;&gt;"",C14=""),"ENVIADO","")))</f>
        <v/>
      </c>
      <c r="F14" s="74" t="s">
        <v>3</v>
      </c>
      <c r="G14" s="75" t="s">
        <v>144</v>
      </c>
      <c r="H14" s="76">
        <v>33504</v>
      </c>
      <c r="I14" s="49" t="s">
        <v>147</v>
      </c>
      <c r="J14" s="73" t="s">
        <v>150</v>
      </c>
      <c r="K14" s="77" t="s">
        <v>151</v>
      </c>
      <c r="L14" s="78"/>
      <c r="M14" s="61" t="str">
        <f>IFERROR(VLOOKUP(L14,PC!$B$4:$C$73,2,0),"&lt;=== SELECCIONAR PC")</f>
        <v>&lt;=== SELECCIONAR PC</v>
      </c>
      <c r="N14" s="94" t="s">
        <v>145</v>
      </c>
      <c r="O14" s="74" t="s">
        <v>146</v>
      </c>
      <c r="P14" s="74" t="s">
        <v>148</v>
      </c>
      <c r="Q14" s="51">
        <v>360</v>
      </c>
      <c r="R14" s="63">
        <f>IF(OR(F14="FACTURA",F14="BOLETA"),(Q14*0.18),IF(F14="RXH",IF(Q14&gt;1500,(-Q14*0.08),0),IF(OR(F14="INVOICE",F14="RECIBO",F14="OTROS SIN IGV"),0,IF(F14="CAJA CHICA",0))))</f>
        <v>64.8</v>
      </c>
      <c r="S14" s="51">
        <v>424.8</v>
      </c>
      <c r="T14" s="63">
        <f>IFERROR((VLOOKUP(A14,TC!$A$1:$C$157,3,FALSE)),"-")</f>
        <v>3.5880000000000001</v>
      </c>
      <c r="U14" s="64">
        <f>IFERROR(IF(P14="SOL",IF(Q14=0,S14,Q14),IF(AND(P14&lt;&gt;"DOLARES",P14&lt;&gt;"DÓLARES"),"-",IF(Q14=0,S14*T14,Q14*T14))),"-")</f>
        <v>1291.68</v>
      </c>
      <c r="V14" s="63">
        <f>IFERROR(IF(P14="SOL",S14,IF(OR(P14="DOLARES",P14="DÓLARES"),S14*T14,"-")),"-")</f>
        <v>1524.1824000000001</v>
      </c>
      <c r="W14" s="49" t="s">
        <v>149</v>
      </c>
      <c r="X14" s="50">
        <v>0.12</v>
      </c>
      <c r="Y14" s="63">
        <f>IFERROR(Tabla3[[#This Row],[PORCENTAJE]]*Tabla3[[#This Row],[IMPORTE]],0)</f>
        <v>50.975999999999999</v>
      </c>
      <c r="Z14" s="51"/>
      <c r="AA14" s="52"/>
      <c r="AB14" s="63">
        <f>Tabla3[[#This Row],[IMPORTE]]-Tabla3[[#This Row],[DETRACCION]]-Tabla3[[#This Row],[FG]]-Tabla3[[#This Row],[DESCUENTOS]]</f>
        <v>373.82400000000001</v>
      </c>
      <c r="AC14" s="62" t="str">
        <f>IFERROR(INDEX(CUENTAS[BANCO],MATCH(_xlfn.CONCAT(Tabla3[[#This Row],[RUC]],Tabla3[[#This Row],[MONEDA]]),CUENTAS[BUSQUEDA],0)),"--")</f>
        <v>--</v>
      </c>
      <c r="AD14" s="61" t="str">
        <f>IFERROR(INDEX(CUENTAS[CC/CA],MATCH(_xlfn.CONCAT(Tabla3[[#This Row],[RUC]],Tabla3[[#This Row],[MONEDA]]),CUENTAS[BUSQUEDA],0)),"--")</f>
        <v>--</v>
      </c>
      <c r="AE14" s="61" t="str">
        <f>IFERROR(INDEX(CUENTAS[CCI], MATCH(_xlfn.CONCAT(Tabla3[[#This Row],[RUC]], Tabla3[[#This Row],[MONEDA]]), CUENTAS[BUSQUEDA], 0)),"--")</f>
        <v>--</v>
      </c>
      <c r="AF14" s="61" t="str">
        <f>IFERROR(VLOOKUP(Tabla3[[#This Row],[RUC]],CUENTAS[#All],7,0),"--")</f>
        <v>--</v>
      </c>
      <c r="AG14" s="65" t="str">
        <f>+UPPER(TEXT(Tabla3[[#This Row],[F. PROVISIÓN]],"mmm"))</f>
        <v>AGO</v>
      </c>
      <c r="AH14" s="61">
        <f>+YEAR(Tabla3[[#This Row],[F. PROVISIÓN]])</f>
        <v>2025</v>
      </c>
    </row>
    <row r="15" spans="1:34" ht="14.55" customHeight="1" x14ac:dyDescent="0.3">
      <c r="A15" s="70">
        <v>45873</v>
      </c>
      <c r="B15" s="71"/>
      <c r="C15" s="71"/>
      <c r="D15" s="72">
        <v>45789</v>
      </c>
      <c r="E15" s="73" t="str">
        <f>IF(AND(B15&lt;&gt;"",C15&lt;&gt;""),"PAGADO",IF(AND(B15="",C15&lt;&gt;""),"ERROR",IF(AND(B15&lt;&gt;"",C15=""),"ENVIADO","")))</f>
        <v/>
      </c>
      <c r="F15" s="74" t="s">
        <v>3</v>
      </c>
      <c r="G15" s="75" t="s">
        <v>144</v>
      </c>
      <c r="H15" s="76">
        <v>35010</v>
      </c>
      <c r="I15" s="49" t="s">
        <v>147</v>
      </c>
      <c r="J15" s="73" t="s">
        <v>150</v>
      </c>
      <c r="K15" s="77" t="s">
        <v>151</v>
      </c>
      <c r="L15" s="78"/>
      <c r="M15" s="61" t="str">
        <f>IFERROR(VLOOKUP(L15,PC!$B$4:$C$73,2,0),"&lt;=== SELECCIONAR PC")</f>
        <v>&lt;=== SELECCIONAR PC</v>
      </c>
      <c r="N15" s="94" t="s">
        <v>145</v>
      </c>
      <c r="O15" s="74" t="s">
        <v>146</v>
      </c>
      <c r="P15" s="74" t="s">
        <v>148</v>
      </c>
      <c r="Q15" s="51">
        <v>400</v>
      </c>
      <c r="R15" s="63">
        <f>IF(OR(F15="FACTURA",F15="BOLETA"),(Q15*0.18),IF(F15="RXH",IF(Q15&gt;1500,(-Q15*0.08),0),IF(OR(F15="INVOICE",F15="RECIBO",F15="OTROS SIN IGV"),0,IF(F15="CAJA CHICA",0))))</f>
        <v>72</v>
      </c>
      <c r="S15" s="51">
        <v>472</v>
      </c>
      <c r="T15" s="63">
        <f>IFERROR((VLOOKUP(A15,TC!$A$1:$C$157,3,FALSE)),"-")</f>
        <v>3.5880000000000001</v>
      </c>
      <c r="U15" s="64">
        <f>IFERROR(IF(P15="SOL",IF(Q15=0,S15,Q15),IF(AND(P15&lt;&gt;"DOLARES",P15&lt;&gt;"DÓLARES"),"-",IF(Q15=0,S15*T15,Q15*T15))),"-")</f>
        <v>1435.2</v>
      </c>
      <c r="V15" s="63">
        <f>IFERROR(IF(P15="SOL",S15,IF(OR(P15="DOLARES",P15="DÓLARES"),S15*T15,"-")),"-")</f>
        <v>1693.5360000000001</v>
      </c>
      <c r="W15" s="49" t="s">
        <v>149</v>
      </c>
      <c r="X15" s="50">
        <v>0.12</v>
      </c>
      <c r="Y15" s="63">
        <f>IFERROR(Tabla3[[#This Row],[PORCENTAJE]]*Tabla3[[#This Row],[IMPORTE]],0)</f>
        <v>56.64</v>
      </c>
      <c r="Z15" s="51"/>
      <c r="AA15" s="52"/>
      <c r="AB15" s="63">
        <f>Tabla3[[#This Row],[IMPORTE]]-Tabla3[[#This Row],[DETRACCION]]-Tabla3[[#This Row],[FG]]-Tabla3[[#This Row],[DESCUENTOS]]</f>
        <v>415.36</v>
      </c>
      <c r="AC15" s="62" t="str">
        <f>IFERROR(INDEX(CUENTAS[BANCO],MATCH(_xlfn.CONCAT(Tabla3[[#This Row],[RUC]],Tabla3[[#This Row],[MONEDA]]),CUENTAS[BUSQUEDA],0)),"--")</f>
        <v>--</v>
      </c>
      <c r="AD15" s="61" t="str">
        <f>IFERROR(INDEX(CUENTAS[CC/CA],MATCH(_xlfn.CONCAT(Tabla3[[#This Row],[RUC]],Tabla3[[#This Row],[MONEDA]]),CUENTAS[BUSQUEDA],0)),"--")</f>
        <v>--</v>
      </c>
      <c r="AE15" s="61" t="str">
        <f>IFERROR(INDEX(CUENTAS[CCI], MATCH(_xlfn.CONCAT(Tabla3[[#This Row],[RUC]], Tabla3[[#This Row],[MONEDA]]), CUENTAS[BUSQUEDA], 0)),"--")</f>
        <v>--</v>
      </c>
      <c r="AF15" s="61" t="str">
        <f>IFERROR(VLOOKUP(Tabla3[[#This Row],[RUC]],CUENTAS[#All],7,0),"--")</f>
        <v>--</v>
      </c>
      <c r="AG15" s="65" t="str">
        <f>+UPPER(TEXT(Tabla3[[#This Row],[F. PROVISIÓN]],"mmm"))</f>
        <v>AGO</v>
      </c>
      <c r="AH15" s="61">
        <f>+YEAR(Tabla3[[#This Row],[F. PROVISIÓN]])</f>
        <v>2025</v>
      </c>
    </row>
    <row r="16" spans="1:34" ht="14.55" customHeight="1" x14ac:dyDescent="0.3">
      <c r="A16" s="70">
        <v>45873</v>
      </c>
      <c r="B16" s="71"/>
      <c r="C16" s="71"/>
      <c r="D16" s="72">
        <v>45818</v>
      </c>
      <c r="E16" s="73" t="str">
        <f>IF(AND(B16&lt;&gt;"",C16&lt;&gt;""),"PAGADO",IF(AND(B16="",C16&lt;&gt;""),"ERROR",IF(AND(B16&lt;&gt;"",C16=""),"ENVIADO","")))</f>
        <v/>
      </c>
      <c r="F16" s="74" t="s">
        <v>3</v>
      </c>
      <c r="G16" s="75" t="s">
        <v>144</v>
      </c>
      <c r="H16" s="76">
        <v>35526</v>
      </c>
      <c r="I16" s="49" t="s">
        <v>147</v>
      </c>
      <c r="J16" s="73" t="s">
        <v>150</v>
      </c>
      <c r="K16" s="77" t="s">
        <v>151</v>
      </c>
      <c r="L16" s="78"/>
      <c r="M16" s="61" t="str">
        <f>IFERROR(VLOOKUP(L16,PC!$B$4:$C$73,2,0),"&lt;=== SELECCIONAR PC")</f>
        <v>&lt;=== SELECCIONAR PC</v>
      </c>
      <c r="N16" s="94" t="s">
        <v>145</v>
      </c>
      <c r="O16" s="74" t="s">
        <v>146</v>
      </c>
      <c r="P16" s="74" t="s">
        <v>148</v>
      </c>
      <c r="Q16" s="51">
        <v>400</v>
      </c>
      <c r="R16" s="63">
        <f>IF(OR(F16="FACTURA",F16="BOLETA"),(Q16*0.18),IF(F16="RXH",IF(Q16&gt;1500,(-Q16*0.08),0),IF(OR(F16="INVOICE",F16="RECIBO",F16="OTROS SIN IGV"),0,IF(F16="CAJA CHICA",0))))</f>
        <v>72</v>
      </c>
      <c r="S16" s="51">
        <v>472</v>
      </c>
      <c r="T16" s="63">
        <f>IFERROR((VLOOKUP(A16,TC!$A$1:$C$157,3,FALSE)),"-")</f>
        <v>3.5880000000000001</v>
      </c>
      <c r="U16" s="64">
        <f>IFERROR(IF(P16="SOL",IF(Q16=0,S16,Q16),IF(AND(P16&lt;&gt;"DOLARES",P16&lt;&gt;"DÓLARES"),"-",IF(Q16=0,S16*T16,Q16*T16))),"-")</f>
        <v>1435.2</v>
      </c>
      <c r="V16" s="63">
        <f>IFERROR(IF(P16="SOL",S16,IF(OR(P16="DOLARES",P16="DÓLARES"),S16*T16,"-")),"-")</f>
        <v>1693.5360000000001</v>
      </c>
      <c r="W16" s="49" t="s">
        <v>149</v>
      </c>
      <c r="X16" s="50">
        <v>0.12</v>
      </c>
      <c r="Y16" s="63">
        <f>IFERROR(Tabla3[[#This Row],[PORCENTAJE]]*Tabla3[[#This Row],[IMPORTE]],0)</f>
        <v>56.64</v>
      </c>
      <c r="Z16" s="51"/>
      <c r="AA16" s="52"/>
      <c r="AB16" s="63">
        <f>Tabla3[[#This Row],[IMPORTE]]-Tabla3[[#This Row],[DETRACCION]]-Tabla3[[#This Row],[FG]]-Tabla3[[#This Row],[DESCUENTOS]]</f>
        <v>415.36</v>
      </c>
      <c r="AC16" s="62" t="str">
        <f>IFERROR(INDEX(CUENTAS[BANCO],MATCH(_xlfn.CONCAT(Tabla3[[#This Row],[RUC]],Tabla3[[#This Row],[MONEDA]]),CUENTAS[BUSQUEDA],0)),"--")</f>
        <v>--</v>
      </c>
      <c r="AD16" s="61" t="str">
        <f>IFERROR(INDEX(CUENTAS[CC/CA],MATCH(_xlfn.CONCAT(Tabla3[[#This Row],[RUC]],Tabla3[[#This Row],[MONEDA]]),CUENTAS[BUSQUEDA],0)),"--")</f>
        <v>--</v>
      </c>
      <c r="AE16" s="61" t="str">
        <f>IFERROR(INDEX(CUENTAS[CCI], MATCH(_xlfn.CONCAT(Tabla3[[#This Row],[RUC]], Tabla3[[#This Row],[MONEDA]]), CUENTAS[BUSQUEDA], 0)),"--")</f>
        <v>--</v>
      </c>
      <c r="AF16" s="61" t="str">
        <f>IFERROR(VLOOKUP(Tabla3[[#This Row],[RUC]],CUENTAS[#All],7,0),"--")</f>
        <v>--</v>
      </c>
      <c r="AG16" s="65" t="str">
        <f>+UPPER(TEXT(Tabla3[[#This Row],[F. PROVISIÓN]],"mmm"))</f>
        <v>AGO</v>
      </c>
      <c r="AH16" s="61">
        <f>+YEAR(Tabla3[[#This Row],[F. PROVISIÓN]])</f>
        <v>2025</v>
      </c>
    </row>
    <row r="17" spans="1:34" ht="14.55" customHeight="1" x14ac:dyDescent="0.3">
      <c r="A17" s="70">
        <v>45873</v>
      </c>
      <c r="B17" s="71"/>
      <c r="C17" s="71"/>
      <c r="D17" s="72">
        <v>45790</v>
      </c>
      <c r="E17" s="73" t="str">
        <f>IF(AND(B17&lt;&gt;"",C17&lt;&gt;""),"PAGADO",IF(AND(B17="",C17&lt;&gt;""),"ERROR",IF(AND(B17&lt;&gt;"",C17=""),"ENVIADO","")))</f>
        <v/>
      </c>
      <c r="F17" s="74" t="s">
        <v>3</v>
      </c>
      <c r="G17" s="75" t="s">
        <v>157</v>
      </c>
      <c r="H17" s="76">
        <v>324</v>
      </c>
      <c r="I17" s="49" t="s">
        <v>183</v>
      </c>
      <c r="J17" s="73" t="s">
        <v>185</v>
      </c>
      <c r="K17" s="77" t="s">
        <v>167</v>
      </c>
      <c r="L17" s="78"/>
      <c r="M17" s="61" t="str">
        <f>IFERROR(VLOOKUP(L17,PC!$B$4:$C$73,2,0),"&lt;=== SELECCIONAR PC")</f>
        <v>&lt;=== SELECCIONAR PC</v>
      </c>
      <c r="N17" s="94" t="s">
        <v>182</v>
      </c>
      <c r="O17" s="74" t="s">
        <v>164</v>
      </c>
      <c r="P17" s="74" t="s">
        <v>138</v>
      </c>
      <c r="Q17" s="51">
        <v>45763.41</v>
      </c>
      <c r="R17" s="63">
        <f>IF(OR(F17="FACTURA",F17="BOLETA"),(Q17*0.18),IF(F17="RXH",IF(Q17&gt;1500,(-Q17*0.08),0),IF(OR(F17="INVOICE",F17="RECIBO",F17="OTROS SIN IGV"),0,IF(F17="CAJA CHICA",0))))</f>
        <v>8237.4138000000003</v>
      </c>
      <c r="S17" s="51">
        <v>54000.82</v>
      </c>
      <c r="T17" s="63">
        <f>IFERROR((VLOOKUP(A17,TC!$A$1:$C$157,3,FALSE)),"-")</f>
        <v>3.5880000000000001</v>
      </c>
      <c r="U17" s="64">
        <f>IFERROR(IF(P17="SOL",IF(Q17=0,S17,Q17),IF(AND(P17&lt;&gt;"DOLARES",P17&lt;&gt;"DÓLARES"),"-",IF(Q17=0,S17*T17,Q17*T17))),"-")</f>
        <v>45763.41</v>
      </c>
      <c r="V17" s="63">
        <f>IFERROR(IF(P17="SOL",S17,IF(OR(P17="DOLARES",P17="DÓLARES"),S17*T17,"-")),"-")</f>
        <v>54000.82</v>
      </c>
      <c r="W17" s="49" t="s">
        <v>184</v>
      </c>
      <c r="X17" s="50">
        <v>0.04</v>
      </c>
      <c r="Y17" s="63">
        <f>IFERROR(Tabla3[[#This Row],[PORCENTAJE]]*Tabla3[[#This Row],[IMPORTE]],0)</f>
        <v>2160.0328</v>
      </c>
      <c r="Z17" s="51"/>
      <c r="AA17" s="52"/>
      <c r="AB17" s="63">
        <f>Tabla3[[#This Row],[IMPORTE]]-Tabla3[[#This Row],[DETRACCION]]-Tabla3[[#This Row],[FG]]-Tabla3[[#This Row],[DESCUENTOS]]</f>
        <v>51840.787199999999</v>
      </c>
      <c r="AC17" s="62" t="str">
        <f>IFERROR(INDEX(CUENTAS[BANCO],MATCH(_xlfn.CONCAT(Tabla3[[#This Row],[RUC]],Tabla3[[#This Row],[MONEDA]]),CUENTAS[BUSQUEDA],0)),"--")</f>
        <v>--</v>
      </c>
      <c r="AD17" s="61" t="str">
        <f>IFERROR(INDEX(CUENTAS[CC/CA],MATCH(_xlfn.CONCAT(Tabla3[[#This Row],[RUC]],Tabla3[[#This Row],[MONEDA]]),CUENTAS[BUSQUEDA],0)),"--")</f>
        <v>--</v>
      </c>
      <c r="AE17" s="61" t="str">
        <f>IFERROR(INDEX(CUENTAS[CCI], MATCH(_xlfn.CONCAT(Tabla3[[#This Row],[RUC]], Tabla3[[#This Row],[MONEDA]]), CUENTAS[BUSQUEDA], 0)),"--")</f>
        <v>--</v>
      </c>
      <c r="AF17" s="61" t="str">
        <f>IFERROR(VLOOKUP(Tabla3[[#This Row],[RUC]],CUENTAS[#All],7,0),"--")</f>
        <v>--</v>
      </c>
      <c r="AG17" s="65" t="str">
        <f>+UPPER(TEXT(Tabla3[[#This Row],[F. PROVISIÓN]],"mmm"))</f>
        <v>AGO</v>
      </c>
      <c r="AH17" s="61">
        <f>+YEAR(Tabla3[[#This Row],[F. PROVISIÓN]])</f>
        <v>2025</v>
      </c>
    </row>
    <row r="18" spans="1:34" ht="14.55" customHeight="1" x14ac:dyDescent="0.3">
      <c r="A18" s="70">
        <v>45873</v>
      </c>
      <c r="B18" s="71"/>
      <c r="C18" s="71"/>
      <c r="D18" s="72">
        <v>45812</v>
      </c>
      <c r="E18" s="73" t="str">
        <f>IF(AND(B18&lt;&gt;"",C18&lt;&gt;""),"PAGADO",IF(AND(B18="",C18&lt;&gt;""),"ERROR",IF(AND(B18&lt;&gt;"",C18=""),"ENVIADO","")))</f>
        <v/>
      </c>
      <c r="F18" s="74" t="s">
        <v>3</v>
      </c>
      <c r="G18" s="75" t="s">
        <v>157</v>
      </c>
      <c r="H18" s="76">
        <v>335</v>
      </c>
      <c r="I18" s="49" t="s">
        <v>183</v>
      </c>
      <c r="J18" s="73" t="s">
        <v>185</v>
      </c>
      <c r="K18" s="77" t="s">
        <v>167</v>
      </c>
      <c r="L18" s="78"/>
      <c r="M18" s="61" t="str">
        <f>IFERROR(VLOOKUP(L18,PC!$B$4:$C$73,2,0),"&lt;=== SELECCIONAR PC")</f>
        <v>&lt;=== SELECCIONAR PC</v>
      </c>
      <c r="N18" s="94" t="s">
        <v>186</v>
      </c>
      <c r="O18" s="74" t="s">
        <v>164</v>
      </c>
      <c r="P18" s="74" t="s">
        <v>138</v>
      </c>
      <c r="Q18" s="51">
        <v>45763.41</v>
      </c>
      <c r="R18" s="63">
        <f>IF(OR(F18="FACTURA",F18="BOLETA"),(Q18*0.18),IF(F18="RXH",IF(Q18&gt;1500,(-Q18*0.08),0),IF(OR(F18="INVOICE",F18="RECIBO",F18="OTROS SIN IGV"),0,IF(F18="CAJA CHICA",0))))</f>
        <v>8237.4138000000003</v>
      </c>
      <c r="S18" s="51">
        <v>54000.82</v>
      </c>
      <c r="T18" s="63">
        <f>IFERROR((VLOOKUP(A18,TC!$A$1:$C$157,3,FALSE)),"-")</f>
        <v>3.5880000000000001</v>
      </c>
      <c r="U18" s="64">
        <f>IFERROR(IF(P18="SOL",IF(Q18=0,S18,Q18),IF(AND(P18&lt;&gt;"DOLARES",P18&lt;&gt;"DÓLARES"),"-",IF(Q18=0,S18*T18,Q18*T18))),"-")</f>
        <v>45763.41</v>
      </c>
      <c r="V18" s="63">
        <f>IFERROR(IF(P18="SOL",S18,IF(OR(P18="DOLARES",P18="DÓLARES"),S18*T18,"-")),"-")</f>
        <v>54000.82</v>
      </c>
      <c r="W18" s="49" t="s">
        <v>184</v>
      </c>
      <c r="X18" s="50">
        <v>0.04</v>
      </c>
      <c r="Y18" s="63">
        <f>IFERROR(Tabla3[[#This Row],[PORCENTAJE]]*Tabla3[[#This Row],[IMPORTE]],0)</f>
        <v>2160.0328</v>
      </c>
      <c r="Z18" s="51"/>
      <c r="AA18" s="52"/>
      <c r="AB18" s="63">
        <f>Tabla3[[#This Row],[IMPORTE]]-Tabla3[[#This Row],[DETRACCION]]-Tabla3[[#This Row],[FG]]-Tabla3[[#This Row],[DESCUENTOS]]</f>
        <v>51840.787199999999</v>
      </c>
      <c r="AC18" s="62" t="str">
        <f>IFERROR(INDEX(CUENTAS[BANCO],MATCH(_xlfn.CONCAT(Tabla3[[#This Row],[RUC]],Tabla3[[#This Row],[MONEDA]]),CUENTAS[BUSQUEDA],0)),"--")</f>
        <v>--</v>
      </c>
      <c r="AD18" s="61" t="str">
        <f>IFERROR(INDEX(CUENTAS[CC/CA],MATCH(_xlfn.CONCAT(Tabla3[[#This Row],[RUC]],Tabla3[[#This Row],[MONEDA]]),CUENTAS[BUSQUEDA],0)),"--")</f>
        <v>--</v>
      </c>
      <c r="AE18" s="61" t="str">
        <f>IFERROR(INDEX(CUENTAS[CCI], MATCH(_xlfn.CONCAT(Tabla3[[#This Row],[RUC]], Tabla3[[#This Row],[MONEDA]]), CUENTAS[BUSQUEDA], 0)),"--")</f>
        <v>--</v>
      </c>
      <c r="AF18" s="61" t="str">
        <f>IFERROR(VLOOKUP(Tabla3[[#This Row],[RUC]],CUENTAS[#All],7,0),"--")</f>
        <v>--</v>
      </c>
      <c r="AG18" s="65" t="str">
        <f>+UPPER(TEXT(Tabla3[[#This Row],[F. PROVISIÓN]],"mmm"))</f>
        <v>AGO</v>
      </c>
      <c r="AH18" s="61">
        <f>+YEAR(Tabla3[[#This Row],[F. PROVISIÓN]])</f>
        <v>2025</v>
      </c>
    </row>
    <row r="19" spans="1:34" ht="14.55" customHeight="1" x14ac:dyDescent="0.3">
      <c r="A19" s="70">
        <v>45873</v>
      </c>
      <c r="B19" s="71"/>
      <c r="C19" s="71"/>
      <c r="D19" s="72">
        <v>45723</v>
      </c>
      <c r="E19" s="73" t="str">
        <f>IF(AND(B19&lt;&gt;"",C19&lt;&gt;""),"PAGADO",IF(AND(B19="",C19&lt;&gt;""),"ERROR",IF(AND(B19&lt;&gt;"",C19=""),"ENVIADO","")))</f>
        <v/>
      </c>
      <c r="F19" s="74" t="s">
        <v>4</v>
      </c>
      <c r="G19" s="75" t="s">
        <v>157</v>
      </c>
      <c r="H19" s="76">
        <v>1</v>
      </c>
      <c r="I19" s="49" t="s">
        <v>188</v>
      </c>
      <c r="J19" s="73" t="s">
        <v>189</v>
      </c>
      <c r="K19" s="77" t="s">
        <v>141</v>
      </c>
      <c r="L19" s="78"/>
      <c r="M19" s="61" t="str">
        <f>IFERROR(VLOOKUP(L19,PC!$B$4:$C$73,2,0),"&lt;=== SELECCIONAR PC")</f>
        <v>&lt;=== SELECCIONAR PC</v>
      </c>
      <c r="N19" s="94" t="s">
        <v>187</v>
      </c>
      <c r="O19" s="74" t="s">
        <v>136</v>
      </c>
      <c r="P19" s="74" t="s">
        <v>138</v>
      </c>
      <c r="Q19" s="51">
        <v>0</v>
      </c>
      <c r="R19" s="63">
        <f>IF(OR(F19="FACTURA",F19="BOLETA"),(Q19*0.18),IF(F19="RXH",IF(Q19&gt;1500,(-Q19*0.08),0),IF(OR(F19="INVOICE",F19="RECIBO",F19="OTROS SIN IGV"),0,IF(F19="CAJA CHICA",0))))</f>
        <v>0</v>
      </c>
      <c r="S19" s="51">
        <v>672</v>
      </c>
      <c r="T19" s="63">
        <f>IFERROR((VLOOKUP(A19,TC!$A$1:$C$157,3,FALSE)),"-")</f>
        <v>3.5880000000000001</v>
      </c>
      <c r="U19" s="64">
        <f>IFERROR(IF(P19="SOL",IF(Q19=0,S19,Q19),IF(AND(P19&lt;&gt;"DOLARES",P19&lt;&gt;"DÓLARES"),"-",IF(Q19=0,S19*T19,Q19*T19))),"-")</f>
        <v>672</v>
      </c>
      <c r="V19" s="63">
        <f>IFERROR(IF(P19="SOL",S19,IF(OR(P19="DOLARES",P19="DÓLARES"),S19*T19,"-")),"-")</f>
        <v>672</v>
      </c>
      <c r="W19" s="49" t="s">
        <v>139</v>
      </c>
      <c r="X19" s="50"/>
      <c r="Y19" s="63">
        <f>IFERROR(Tabla3[[#This Row],[PORCENTAJE]]*Tabla3[[#This Row],[IMPORTE]],0)</f>
        <v>0</v>
      </c>
      <c r="Z19" s="51"/>
      <c r="AA19" s="52"/>
      <c r="AB19" s="63">
        <f>Tabla3[[#This Row],[IMPORTE]]-Tabla3[[#This Row],[DETRACCION]]-Tabla3[[#This Row],[FG]]-Tabla3[[#This Row],[DESCUENTOS]]</f>
        <v>672</v>
      </c>
      <c r="AC19" s="62" t="str">
        <f>IFERROR(INDEX(CUENTAS[BANCO],MATCH(_xlfn.CONCAT(Tabla3[[#This Row],[RUC]],Tabla3[[#This Row],[MONEDA]]),CUENTAS[BUSQUEDA],0)),"--")</f>
        <v>--</v>
      </c>
      <c r="AD19" s="61" t="str">
        <f>IFERROR(INDEX(CUENTAS[CC/CA],MATCH(_xlfn.CONCAT(Tabla3[[#This Row],[RUC]],Tabla3[[#This Row],[MONEDA]]),CUENTAS[BUSQUEDA],0)),"--")</f>
        <v>--</v>
      </c>
      <c r="AE19" s="61" t="str">
        <f>IFERROR(INDEX(CUENTAS[CCI], MATCH(_xlfn.CONCAT(Tabla3[[#This Row],[RUC]], Tabla3[[#This Row],[MONEDA]]), CUENTAS[BUSQUEDA], 0)),"--")</f>
        <v>--</v>
      </c>
      <c r="AF19" s="61" t="str">
        <f>IFERROR(VLOOKUP(Tabla3[[#This Row],[RUC]],CUENTAS[#All],7,0),"--")</f>
        <v>--</v>
      </c>
      <c r="AG19" s="65" t="str">
        <f>+UPPER(TEXT(Tabla3[[#This Row],[F. PROVISIÓN]],"mmm"))</f>
        <v>AGO</v>
      </c>
      <c r="AH19" s="61">
        <f>+YEAR(Tabla3[[#This Row],[F. PROVISIÓN]])</f>
        <v>2025</v>
      </c>
    </row>
    <row r="20" spans="1:34" ht="14.55" customHeight="1" x14ac:dyDescent="0.3">
      <c r="A20" s="70">
        <v>45873</v>
      </c>
      <c r="B20" s="71"/>
      <c r="C20" s="71"/>
      <c r="D20" s="72">
        <v>45723</v>
      </c>
      <c r="E20" s="73" t="str">
        <f>IF(AND(B20&lt;&gt;"",C20&lt;&gt;""),"PAGADO",IF(AND(B20="",C20&lt;&gt;""),"ERROR",IF(AND(B20&lt;&gt;"",C20=""),"ENVIADO","")))</f>
        <v/>
      </c>
      <c r="F20" s="74" t="s">
        <v>4</v>
      </c>
      <c r="G20" s="75" t="s">
        <v>157</v>
      </c>
      <c r="H20" s="76">
        <v>1</v>
      </c>
      <c r="I20" s="49" t="s">
        <v>191</v>
      </c>
      <c r="J20" s="73" t="s">
        <v>192</v>
      </c>
      <c r="K20" s="77" t="s">
        <v>141</v>
      </c>
      <c r="L20" s="78"/>
      <c r="M20" s="61" t="str">
        <f>IFERROR(VLOOKUP(L20,PC!$B$4:$C$73,2,0),"&lt;=== SELECCIONAR PC")</f>
        <v>&lt;=== SELECCIONAR PC</v>
      </c>
      <c r="N20" s="94" t="s">
        <v>190</v>
      </c>
      <c r="O20" s="74" t="s">
        <v>136</v>
      </c>
      <c r="P20" s="74" t="s">
        <v>138</v>
      </c>
      <c r="Q20" s="51">
        <v>0</v>
      </c>
      <c r="R20" s="63">
        <f>IF(OR(F20="FACTURA",F20="BOLETA"),(Q20*0.18),IF(F20="RXH",IF(Q20&gt;1500,(-Q20*0.08),0),IF(OR(F20="INVOICE",F20="RECIBO",F20="OTROS SIN IGV"),0,IF(F20="CAJA CHICA",0))))</f>
        <v>0</v>
      </c>
      <c r="S20" s="51">
        <v>1500</v>
      </c>
      <c r="T20" s="63">
        <f>IFERROR((VLOOKUP(A20,TC!$A$1:$C$157,3,FALSE)),"-")</f>
        <v>3.5880000000000001</v>
      </c>
      <c r="U20" s="64">
        <f>IFERROR(IF(P20="SOL",IF(Q20=0,S20,Q20),IF(AND(P20&lt;&gt;"DOLARES",P20&lt;&gt;"DÓLARES"),"-",IF(Q20=0,S20*T20,Q20*T20))),"-")</f>
        <v>1500</v>
      </c>
      <c r="V20" s="63">
        <f>IFERROR(IF(P20="SOL",S20,IF(OR(P20="DOLARES",P20="DÓLARES"),S20*T20,"-")),"-")</f>
        <v>1500</v>
      </c>
      <c r="W20" s="49" t="s">
        <v>139</v>
      </c>
      <c r="X20" s="50"/>
      <c r="Y20" s="63">
        <f>IFERROR(Tabla3[[#This Row],[PORCENTAJE]]*Tabla3[[#This Row],[IMPORTE]],0)</f>
        <v>0</v>
      </c>
      <c r="Z20" s="51"/>
      <c r="AA20" s="52"/>
      <c r="AB20" s="63">
        <f>Tabla3[[#This Row],[IMPORTE]]-Tabla3[[#This Row],[DETRACCION]]-Tabla3[[#This Row],[FG]]-Tabla3[[#This Row],[DESCUENTOS]]</f>
        <v>1500</v>
      </c>
      <c r="AC20" s="62" t="str">
        <f>IFERROR(INDEX(CUENTAS[BANCO],MATCH(_xlfn.CONCAT(Tabla3[[#This Row],[RUC]],Tabla3[[#This Row],[MONEDA]]),CUENTAS[BUSQUEDA],0)),"--")</f>
        <v>--</v>
      </c>
      <c r="AD20" s="61" t="str">
        <f>IFERROR(INDEX(CUENTAS[CC/CA],MATCH(_xlfn.CONCAT(Tabla3[[#This Row],[RUC]],Tabla3[[#This Row],[MONEDA]]),CUENTAS[BUSQUEDA],0)),"--")</f>
        <v>--</v>
      </c>
      <c r="AE20" s="61" t="str">
        <f>IFERROR(INDEX(CUENTAS[CCI], MATCH(_xlfn.CONCAT(Tabla3[[#This Row],[RUC]], Tabla3[[#This Row],[MONEDA]]), CUENTAS[BUSQUEDA], 0)),"--")</f>
        <v>--</v>
      </c>
      <c r="AF20" s="61" t="str">
        <f>IFERROR(VLOOKUP(Tabla3[[#This Row],[RUC]],CUENTAS[#All],7,0),"--")</f>
        <v>--</v>
      </c>
      <c r="AG20" s="65" t="str">
        <f>+UPPER(TEXT(Tabla3[[#This Row],[F. PROVISIÓN]],"mmm"))</f>
        <v>AGO</v>
      </c>
      <c r="AH20" s="61">
        <f>+YEAR(Tabla3[[#This Row],[F. PROVISIÓN]])</f>
        <v>2025</v>
      </c>
    </row>
  </sheetData>
  <phoneticPr fontId="6" type="noConversion"/>
  <hyperlinks>
    <hyperlink ref="A1" r:id="rId1" xr:uid="{0B5EA33D-278D-49EA-A71B-47F3CF6626AD}"/>
    <hyperlink ref="A2" r:id="rId2" display="04/08/2025" xr:uid="{F0E0F523-0528-4C5A-A41F-312D27404E9F}"/>
    <hyperlink ref="A3" r:id="rId3" display="04/08/2025" xr:uid="{84F31E16-9713-4F5A-BA19-5040AB001531}"/>
    <hyperlink ref="A4" r:id="rId4" display="04/08/2025" xr:uid="{786D1B36-8FBE-4BC2-A6DC-AA127DAAD916}"/>
    <hyperlink ref="A5" r:id="rId5" display="04/08/2025" xr:uid="{AD899A1E-FCF3-42DD-B4BD-038CC39F4CDF}"/>
    <hyperlink ref="A6" r:id="rId6" display="04/08/2025" xr:uid="{7EE8AE1E-F22E-4990-8DC9-FCCD68AAFE9B}"/>
    <hyperlink ref="A7" r:id="rId7" display="04/08/2025" xr:uid="{6674DCA2-20AB-4EA8-8817-8359BDE9F10D}"/>
    <hyperlink ref="A8" r:id="rId8" display="04/08/2025" xr:uid="{111F0C54-58A0-48DD-B30D-7F89C09181DE}"/>
    <hyperlink ref="A9" r:id="rId9" display="04/08/2025" xr:uid="{9684061C-6046-442E-9F67-59C624E16E30}"/>
    <hyperlink ref="A10" r:id="rId10" display="04/08/2025" xr:uid="{403020E0-3276-40C2-A6E5-D5DBEEC36D18}"/>
    <hyperlink ref="A11" r:id="rId11" display="04/08/2025" xr:uid="{DDBB9E21-4027-4B6A-AF1D-5EA663FF9FB3}"/>
    <hyperlink ref="A12" r:id="rId12" display="04/08/2025" xr:uid="{EC3E5F0D-3C9F-4416-AF93-9152402B41D6}"/>
    <hyperlink ref="A13" r:id="rId13" display="04/08/2025" xr:uid="{1176808E-78AA-4F05-B4EA-5C56E99519D6}"/>
    <hyperlink ref="A14" r:id="rId14" display="04/08/2025" xr:uid="{D2FA9ED9-A918-46B6-850E-D7B7934D7CEB}"/>
    <hyperlink ref="A15" r:id="rId15" display="04/08/2025" xr:uid="{8104267F-7581-4669-BAAF-19E8DF7D43FC}"/>
    <hyperlink ref="A16" r:id="rId16" display="04/08/2025" xr:uid="{6B5EAFD4-1770-4941-BBD8-393D454AD3DD}"/>
    <hyperlink ref="A17" r:id="rId17" display="04/08/2025" xr:uid="{8131D907-0091-4669-AC7E-97B3BCA75282}"/>
    <hyperlink ref="A18" r:id="rId18" display="04/08/2025" xr:uid="{E7922881-C813-43D3-9FF7-30112ECBCD75}"/>
    <hyperlink ref="A19" r:id="rId19" display="04/08/2025" xr:uid="{2F4E3229-FEFD-4183-9739-C00682211D33}"/>
    <hyperlink ref="A20" r:id="rId20" display="04/08/2025" xr:uid="{B155B90F-87D4-4099-806D-C67C49551A15}"/>
  </hyperlinks>
  <pageMargins left="0.7" right="0.7" top="0.75" bottom="0.75" header="0.3" footer="0.3"/>
  <pageSetup paperSize="9" orientation="portrait" r:id="rId21"/>
  <drawing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E9F0F47C-0DE0-4B41-8719-509C573067CA}">
          <x14:formula1>
            <xm:f>'CUENTAS'!$L$2:$L$9</xm:f>
          </x14:formula1>
          <xm:sqref>AC2:AC20</xm:sqref>
        </x14:dataValidation>
        <x14:dataValidation type="list" allowBlank="1" showInputMessage="1" showErrorMessage="1" errorTitle="⚠️ Error en partida contable" error="seleccione o escriba correctamente la partida contable" xr:uid="{E2E02006-CEEB-4C81-839A-5B4729148FC8}">
          <x14:formula1>
            <xm:f>PC!$B$37:$B$73</xm:f>
          </x14:formula1>
          <xm:sqref>L1:L20</xm:sqref>
        </x14:dataValidation>
        <x14:dataValidation type="list" allowBlank="1" showInputMessage="1" xr:uid="{FDAA525E-6A2C-4456-AAA7-5BE0473E0FCC}">
          <x14:formula1>
            <xm:f>PC!$E$5:$E$11</xm:f>
          </x14:formula1>
          <xm:sqref>F1:F20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8EBA7-1710-4486-A6F5-D673D89859F1}">
  <sheetPr codeName="Hoja20"/>
  <dimension ref="A1:C157"/>
  <sheetViews>
    <sheetView topLeftCell="A75" workbookViewId="0">
      <selection activeCell="A158" sqref="A158:XFD1048576"/>
    </sheetView>
  </sheetViews>
  <sheetFormatPr baseColWidth="10" defaultColWidth="11.44140625" defaultRowHeight="13.2" x14ac:dyDescent="0.25"/>
  <cols>
    <col min="1" max="1" width="11.44140625" style="10"/>
    <col min="2" max="2" width="12.5546875" style="10" customWidth="1"/>
    <col min="3" max="16384" width="11.44140625" style="10"/>
  </cols>
  <sheetData>
    <row r="1" spans="1:3" x14ac:dyDescent="0.25">
      <c r="A1" s="10" t="s">
        <v>50</v>
      </c>
      <c r="B1" s="10" t="s">
        <v>51</v>
      </c>
      <c r="C1" s="10" t="s">
        <v>52</v>
      </c>
    </row>
    <row r="2" spans="1:3" x14ac:dyDescent="0.25">
      <c r="A2" s="8">
        <v>45658</v>
      </c>
      <c r="B2" s="9">
        <v>3.746</v>
      </c>
      <c r="C2" s="9">
        <v>3.7589999999999999</v>
      </c>
    </row>
    <row r="3" spans="1:3" x14ac:dyDescent="0.25">
      <c r="A3" s="8">
        <v>45659</v>
      </c>
      <c r="B3" s="9">
        <v>3.746</v>
      </c>
      <c r="C3" s="9">
        <v>3.7589999999999999</v>
      </c>
    </row>
    <row r="4" spans="1:3" x14ac:dyDescent="0.25">
      <c r="A4" s="8">
        <v>45660</v>
      </c>
      <c r="B4" s="9">
        <v>3.754</v>
      </c>
      <c r="C4" s="9">
        <v>3.76</v>
      </c>
    </row>
    <row r="5" spans="1:3" x14ac:dyDescent="0.25">
      <c r="A5" s="8">
        <v>45663</v>
      </c>
      <c r="B5" s="9">
        <v>3.758</v>
      </c>
      <c r="C5" s="9">
        <v>3.7669999999999999</v>
      </c>
    </row>
    <row r="6" spans="1:3" x14ac:dyDescent="0.25">
      <c r="A6" s="8">
        <v>45664</v>
      </c>
      <c r="B6" s="9">
        <v>3.7669999999999999</v>
      </c>
      <c r="C6" s="9">
        <v>3.7719999999999998</v>
      </c>
    </row>
    <row r="7" spans="1:3" x14ac:dyDescent="0.25">
      <c r="A7" s="8">
        <v>45665</v>
      </c>
      <c r="B7" s="9">
        <v>3.7759999999999998</v>
      </c>
      <c r="C7" s="9">
        <v>3.7829999999999999</v>
      </c>
    </row>
    <row r="8" spans="1:3" x14ac:dyDescent="0.25">
      <c r="A8" s="8">
        <v>45666</v>
      </c>
      <c r="B8" s="9">
        <v>3.7650000000000001</v>
      </c>
      <c r="C8" s="9">
        <v>3.7690000000000001</v>
      </c>
    </row>
    <row r="9" spans="1:3" x14ac:dyDescent="0.25">
      <c r="A9" s="8">
        <v>45667</v>
      </c>
      <c r="B9" s="9">
        <v>3.762</v>
      </c>
      <c r="C9" s="9">
        <v>3.7690000000000001</v>
      </c>
    </row>
    <row r="10" spans="1:3" x14ac:dyDescent="0.25">
      <c r="A10" s="8">
        <v>45670</v>
      </c>
      <c r="B10" s="9">
        <v>3.774</v>
      </c>
      <c r="C10" s="9">
        <v>3.7850000000000001</v>
      </c>
    </row>
    <row r="11" spans="1:3" x14ac:dyDescent="0.25">
      <c r="A11" s="8">
        <v>45671</v>
      </c>
      <c r="B11" s="9">
        <v>3.7730000000000001</v>
      </c>
      <c r="C11" s="9">
        <v>3.778</v>
      </c>
    </row>
    <row r="12" spans="1:3" x14ac:dyDescent="0.25">
      <c r="A12" s="8">
        <v>45672</v>
      </c>
      <c r="B12" s="9">
        <v>3.7610000000000001</v>
      </c>
      <c r="C12" s="9">
        <v>3.7679999999999998</v>
      </c>
    </row>
    <row r="13" spans="1:3" x14ac:dyDescent="0.25">
      <c r="A13" s="8">
        <v>45673</v>
      </c>
      <c r="B13" s="9">
        <v>3.7639999999999998</v>
      </c>
      <c r="C13" s="9">
        <v>3.7690000000000001</v>
      </c>
    </row>
    <row r="14" spans="1:3" x14ac:dyDescent="0.25">
      <c r="A14" s="8">
        <v>45674</v>
      </c>
      <c r="B14" s="9">
        <v>3.7429999999999999</v>
      </c>
      <c r="C14" s="9">
        <v>3.7519999999999998</v>
      </c>
    </row>
    <row r="15" spans="1:3" x14ac:dyDescent="0.25">
      <c r="A15" s="8">
        <v>45677</v>
      </c>
      <c r="B15" s="9">
        <v>3.7280000000000002</v>
      </c>
      <c r="C15" s="9">
        <v>3.742</v>
      </c>
    </row>
    <row r="16" spans="1:3" x14ac:dyDescent="0.25">
      <c r="A16" s="8">
        <v>45678</v>
      </c>
      <c r="B16" s="9">
        <v>3.7269999999999999</v>
      </c>
      <c r="C16" s="9">
        <v>3.7349999999999999</v>
      </c>
    </row>
    <row r="17" spans="1:3" x14ac:dyDescent="0.25">
      <c r="A17" s="8">
        <v>45679</v>
      </c>
      <c r="B17" s="9">
        <v>3.718</v>
      </c>
      <c r="C17" s="9">
        <v>3.7240000000000002</v>
      </c>
    </row>
    <row r="18" spans="1:3" x14ac:dyDescent="0.25">
      <c r="A18" s="8">
        <v>45680</v>
      </c>
      <c r="B18" s="9">
        <v>3.71</v>
      </c>
      <c r="C18" s="9">
        <v>3.7170000000000001</v>
      </c>
    </row>
    <row r="19" spans="1:3" x14ac:dyDescent="0.25">
      <c r="A19" s="8">
        <v>45681</v>
      </c>
      <c r="B19" s="9">
        <v>3.706</v>
      </c>
      <c r="C19" s="9">
        <v>3.7160000000000002</v>
      </c>
    </row>
    <row r="20" spans="1:3" x14ac:dyDescent="0.25">
      <c r="A20" s="8">
        <v>45684</v>
      </c>
      <c r="B20" s="9">
        <v>3.7349999999999999</v>
      </c>
      <c r="C20" s="9">
        <v>3.742</v>
      </c>
    </row>
    <row r="21" spans="1:3" x14ac:dyDescent="0.25">
      <c r="A21" s="8">
        <v>45685</v>
      </c>
      <c r="B21" s="9">
        <v>3.7370000000000001</v>
      </c>
      <c r="C21" s="9">
        <v>3.7429999999999999</v>
      </c>
    </row>
    <row r="22" spans="1:3" x14ac:dyDescent="0.25">
      <c r="A22" s="8">
        <v>45686</v>
      </c>
      <c r="B22" s="9">
        <v>3.7210000000000001</v>
      </c>
      <c r="C22" s="9">
        <v>3.7280000000000002</v>
      </c>
    </row>
    <row r="23" spans="1:3" x14ac:dyDescent="0.25">
      <c r="A23" s="8">
        <v>45687</v>
      </c>
      <c r="B23" s="9">
        <v>3.7120000000000002</v>
      </c>
      <c r="C23" s="9">
        <v>3.72</v>
      </c>
    </row>
    <row r="24" spans="1:3" x14ac:dyDescent="0.25">
      <c r="A24" s="8">
        <v>45688</v>
      </c>
      <c r="B24" s="9">
        <v>3.7149999999999999</v>
      </c>
      <c r="C24" s="9">
        <v>3.7280000000000002</v>
      </c>
    </row>
    <row r="25" spans="1:3" x14ac:dyDescent="0.25">
      <c r="A25" s="8">
        <v>45691</v>
      </c>
      <c r="B25" s="9">
        <v>3.7130000000000001</v>
      </c>
      <c r="C25" s="9">
        <v>3.722</v>
      </c>
    </row>
    <row r="26" spans="1:3" x14ac:dyDescent="0.25">
      <c r="A26" s="8">
        <v>45692</v>
      </c>
      <c r="B26" s="9">
        <v>3.7010000000000001</v>
      </c>
      <c r="C26" s="9">
        <v>3.7120000000000002</v>
      </c>
    </row>
    <row r="27" spans="1:3" x14ac:dyDescent="0.25">
      <c r="A27" s="8">
        <v>45693</v>
      </c>
      <c r="B27" s="9">
        <v>3.7120000000000002</v>
      </c>
      <c r="C27" s="9">
        <v>3.72</v>
      </c>
    </row>
    <row r="28" spans="1:3" x14ac:dyDescent="0.25">
      <c r="A28" s="8">
        <v>45694</v>
      </c>
      <c r="B28" s="9">
        <v>3.7080000000000002</v>
      </c>
      <c r="C28" s="9">
        <v>3.7149999999999999</v>
      </c>
    </row>
    <row r="29" spans="1:3" x14ac:dyDescent="0.25">
      <c r="A29" s="8">
        <v>45695</v>
      </c>
      <c r="B29" s="9">
        <v>3.7090000000000001</v>
      </c>
      <c r="C29" s="9">
        <v>3.718</v>
      </c>
    </row>
    <row r="30" spans="1:3" x14ac:dyDescent="0.25">
      <c r="A30" s="8">
        <v>45698</v>
      </c>
      <c r="B30" s="9">
        <v>3.7069999999999999</v>
      </c>
      <c r="C30" s="9">
        <v>3.7189999999999999</v>
      </c>
    </row>
    <row r="31" spans="1:3" x14ac:dyDescent="0.25">
      <c r="A31" s="8">
        <v>45699</v>
      </c>
      <c r="B31" s="9">
        <v>3.7080000000000002</v>
      </c>
      <c r="C31" s="9">
        <v>3.714</v>
      </c>
    </row>
    <row r="32" spans="1:3" x14ac:dyDescent="0.25">
      <c r="A32" s="8">
        <v>45700</v>
      </c>
      <c r="B32" s="9">
        <v>3.7090000000000001</v>
      </c>
      <c r="C32" s="9">
        <v>3.714</v>
      </c>
    </row>
    <row r="33" spans="1:3" x14ac:dyDescent="0.25">
      <c r="A33" s="8">
        <v>45701</v>
      </c>
      <c r="B33" s="9">
        <v>3.714</v>
      </c>
      <c r="C33" s="9">
        <v>3.7189999999999999</v>
      </c>
    </row>
    <row r="34" spans="1:3" x14ac:dyDescent="0.25">
      <c r="A34" s="8">
        <v>45702</v>
      </c>
      <c r="B34" s="9">
        <v>3.702</v>
      </c>
      <c r="C34" s="9">
        <v>3.7120000000000002</v>
      </c>
    </row>
    <row r="35" spans="1:3" x14ac:dyDescent="0.25">
      <c r="A35" s="8">
        <v>45705</v>
      </c>
      <c r="B35" s="9">
        <v>3.6930000000000001</v>
      </c>
      <c r="C35" s="9">
        <v>3.7080000000000002</v>
      </c>
    </row>
    <row r="36" spans="1:3" x14ac:dyDescent="0.25">
      <c r="A36" s="8">
        <v>45706</v>
      </c>
      <c r="B36" s="9">
        <v>3.6829999999999998</v>
      </c>
      <c r="C36" s="9">
        <v>3.6949999999999998</v>
      </c>
    </row>
    <row r="37" spans="1:3" x14ac:dyDescent="0.25">
      <c r="A37" s="8">
        <v>45707</v>
      </c>
      <c r="B37" s="9">
        <v>3.68</v>
      </c>
      <c r="C37" s="9">
        <v>3.69</v>
      </c>
    </row>
    <row r="38" spans="1:3" x14ac:dyDescent="0.25">
      <c r="A38" s="8">
        <v>45708</v>
      </c>
      <c r="B38" s="9">
        <v>3.681</v>
      </c>
      <c r="C38" s="9">
        <v>3.6869999999999998</v>
      </c>
    </row>
    <row r="39" spans="1:3" x14ac:dyDescent="0.25">
      <c r="A39" s="8">
        <v>45709</v>
      </c>
      <c r="B39" s="9">
        <v>3.6739999999999999</v>
      </c>
      <c r="C39" s="9">
        <v>3.6829999999999998</v>
      </c>
    </row>
    <row r="40" spans="1:3" x14ac:dyDescent="0.25">
      <c r="A40" s="8">
        <v>45712</v>
      </c>
      <c r="B40" s="9">
        <v>3.68</v>
      </c>
      <c r="C40" s="9">
        <v>3.6890000000000001</v>
      </c>
    </row>
    <row r="41" spans="1:3" x14ac:dyDescent="0.25">
      <c r="A41" s="8">
        <v>45713</v>
      </c>
      <c r="B41" s="9">
        <v>3.6779999999999999</v>
      </c>
      <c r="C41" s="9">
        <v>3.6859999999999999</v>
      </c>
    </row>
    <row r="42" spans="1:3" x14ac:dyDescent="0.25">
      <c r="A42" s="8">
        <v>45714</v>
      </c>
      <c r="B42" s="9">
        <v>3.6760000000000002</v>
      </c>
      <c r="C42" s="9">
        <v>3.681</v>
      </c>
    </row>
    <row r="43" spans="1:3" x14ac:dyDescent="0.25">
      <c r="A43" s="8">
        <v>45715</v>
      </c>
      <c r="B43" s="9">
        <v>3.6680000000000001</v>
      </c>
      <c r="C43" s="9">
        <v>3.6739999999999999</v>
      </c>
    </row>
    <row r="44" spans="1:3" x14ac:dyDescent="0.25">
      <c r="A44" s="8">
        <v>45716</v>
      </c>
      <c r="B44" s="9">
        <v>3.6709999999999998</v>
      </c>
      <c r="C44" s="9">
        <v>3.6829999999999998</v>
      </c>
    </row>
    <row r="45" spans="1:3" x14ac:dyDescent="0.25">
      <c r="A45" s="8">
        <v>45719</v>
      </c>
      <c r="B45" s="9">
        <v>3.6779999999999999</v>
      </c>
      <c r="C45" s="9">
        <v>3.6909999999999998</v>
      </c>
    </row>
    <row r="46" spans="1:3" x14ac:dyDescent="0.25">
      <c r="A46" s="8">
        <v>45720</v>
      </c>
      <c r="B46" s="9">
        <v>3.6869999999999998</v>
      </c>
      <c r="C46" s="9">
        <v>3.6930000000000001</v>
      </c>
    </row>
    <row r="47" spans="1:3" x14ac:dyDescent="0.25">
      <c r="A47" s="8">
        <v>45721</v>
      </c>
      <c r="B47" s="9">
        <v>3.657</v>
      </c>
      <c r="C47" s="9">
        <v>3.6629999999999998</v>
      </c>
    </row>
    <row r="48" spans="1:3" x14ac:dyDescent="0.25">
      <c r="A48" s="8">
        <v>45722</v>
      </c>
      <c r="B48" s="9">
        <v>3.6459999999999999</v>
      </c>
      <c r="C48" s="9">
        <v>3.6509999999999998</v>
      </c>
    </row>
    <row r="49" spans="1:3" x14ac:dyDescent="0.25">
      <c r="A49" s="8">
        <v>45723</v>
      </c>
      <c r="B49" s="9">
        <v>3.6539999999999999</v>
      </c>
      <c r="C49" s="9">
        <v>3.6589999999999998</v>
      </c>
    </row>
    <row r="50" spans="1:3" x14ac:dyDescent="0.25">
      <c r="A50" s="8">
        <v>45726</v>
      </c>
      <c r="B50" s="9">
        <v>3.6549999999999998</v>
      </c>
      <c r="C50" s="9">
        <v>3.669</v>
      </c>
    </row>
    <row r="51" spans="1:3" x14ac:dyDescent="0.25">
      <c r="A51" s="8">
        <v>45727</v>
      </c>
      <c r="B51" s="9">
        <v>3.6640000000000001</v>
      </c>
      <c r="C51" s="9">
        <v>3.67</v>
      </c>
    </row>
    <row r="52" spans="1:3" x14ac:dyDescent="0.25">
      <c r="A52" s="8">
        <v>45728</v>
      </c>
      <c r="B52" s="9">
        <v>3.6579999999999999</v>
      </c>
      <c r="C52" s="9">
        <v>3.6669999999999998</v>
      </c>
    </row>
    <row r="53" spans="1:3" x14ac:dyDescent="0.25">
      <c r="A53" s="8">
        <v>45729</v>
      </c>
      <c r="B53" s="9">
        <v>3.6629999999999998</v>
      </c>
      <c r="C53" s="9">
        <v>3.67</v>
      </c>
    </row>
    <row r="54" spans="1:3" x14ac:dyDescent="0.25">
      <c r="A54" s="8">
        <v>45730</v>
      </c>
      <c r="B54" s="9">
        <v>3.653</v>
      </c>
      <c r="C54" s="9">
        <v>3.6629999999999998</v>
      </c>
    </row>
    <row r="55" spans="1:3" x14ac:dyDescent="0.25">
      <c r="A55" s="8">
        <v>45733</v>
      </c>
      <c r="B55" s="9">
        <v>3.6419999999999999</v>
      </c>
      <c r="C55" s="9">
        <v>3.6549999999999998</v>
      </c>
    </row>
    <row r="56" spans="1:3" x14ac:dyDescent="0.25">
      <c r="A56" s="8">
        <v>45734</v>
      </c>
      <c r="B56" s="9">
        <v>3.633</v>
      </c>
      <c r="C56" s="9">
        <v>3.641</v>
      </c>
    </row>
    <row r="57" spans="1:3" x14ac:dyDescent="0.25">
      <c r="A57" s="8">
        <v>45735</v>
      </c>
      <c r="B57" s="9">
        <v>3.6160000000000001</v>
      </c>
      <c r="C57" s="9">
        <v>3.6259999999999999</v>
      </c>
    </row>
    <row r="58" spans="1:3" x14ac:dyDescent="0.25">
      <c r="A58" s="8">
        <v>45736</v>
      </c>
      <c r="B58" s="9">
        <v>3.62</v>
      </c>
      <c r="C58" s="9">
        <v>3.6269999999999998</v>
      </c>
    </row>
    <row r="59" spans="1:3" x14ac:dyDescent="0.25">
      <c r="A59" s="8">
        <v>45737</v>
      </c>
      <c r="B59" s="9">
        <v>3.6280000000000001</v>
      </c>
      <c r="C59" s="9">
        <v>3.641</v>
      </c>
    </row>
    <row r="60" spans="1:3" x14ac:dyDescent="0.25">
      <c r="A60" s="8">
        <v>45740</v>
      </c>
      <c r="B60" s="9">
        <v>3.6349999999999998</v>
      </c>
      <c r="C60" s="9">
        <v>3.6480000000000001</v>
      </c>
    </row>
    <row r="61" spans="1:3" x14ac:dyDescent="0.25">
      <c r="A61" s="8">
        <v>45741</v>
      </c>
      <c r="B61" s="9">
        <v>3.6339999999999999</v>
      </c>
      <c r="C61" s="9">
        <v>3.6440000000000001</v>
      </c>
    </row>
    <row r="62" spans="1:3" x14ac:dyDescent="0.25">
      <c r="A62" s="8">
        <v>45742</v>
      </c>
      <c r="B62" s="9">
        <v>3.6360000000000001</v>
      </c>
      <c r="C62" s="9">
        <v>3.6429999999999998</v>
      </c>
    </row>
    <row r="63" spans="1:3" x14ac:dyDescent="0.25">
      <c r="A63" s="8">
        <v>45743</v>
      </c>
      <c r="B63" s="9">
        <v>3.6419999999999999</v>
      </c>
      <c r="C63" s="9">
        <v>3.649</v>
      </c>
    </row>
    <row r="64" spans="1:3" x14ac:dyDescent="0.25">
      <c r="A64" s="8">
        <v>45744</v>
      </c>
      <c r="B64" s="9">
        <v>3.6469999999999998</v>
      </c>
      <c r="C64" s="9">
        <v>3.6539999999999999</v>
      </c>
    </row>
    <row r="65" spans="1:3" x14ac:dyDescent="0.25">
      <c r="A65" s="8">
        <v>45747</v>
      </c>
      <c r="B65" s="9">
        <v>3.66</v>
      </c>
      <c r="C65" s="9">
        <v>3.677</v>
      </c>
    </row>
    <row r="66" spans="1:3" x14ac:dyDescent="0.25">
      <c r="A66" s="8">
        <v>45748</v>
      </c>
      <c r="B66" s="9">
        <v>3.6669999999999998</v>
      </c>
      <c r="C66" s="9">
        <v>3.6760000000000002</v>
      </c>
    </row>
    <row r="67" spans="1:3" x14ac:dyDescent="0.25">
      <c r="A67" s="8">
        <v>45749</v>
      </c>
      <c r="B67" s="9">
        <v>3.6709999999999998</v>
      </c>
      <c r="C67" s="9">
        <v>3.68</v>
      </c>
    </row>
    <row r="68" spans="1:3" x14ac:dyDescent="0.25">
      <c r="A68" s="8">
        <v>45750</v>
      </c>
      <c r="B68" s="9">
        <v>3.6619999999999999</v>
      </c>
      <c r="C68" s="9">
        <v>3.6669999999999998</v>
      </c>
    </row>
    <row r="69" spans="1:3" x14ac:dyDescent="0.25">
      <c r="A69" s="8">
        <v>45751</v>
      </c>
      <c r="B69" s="9">
        <v>3.6859999999999999</v>
      </c>
      <c r="C69" s="9">
        <v>3.6909999999999998</v>
      </c>
    </row>
    <row r="70" spans="1:3" x14ac:dyDescent="0.25">
      <c r="A70" s="8">
        <v>45754</v>
      </c>
      <c r="B70" s="9">
        <v>3.6960000000000002</v>
      </c>
      <c r="C70" s="9">
        <v>3.7050000000000001</v>
      </c>
    </row>
    <row r="71" spans="1:3" x14ac:dyDescent="0.25">
      <c r="A71" s="8">
        <v>45755</v>
      </c>
      <c r="B71" s="9">
        <v>3.7280000000000002</v>
      </c>
      <c r="C71" s="9">
        <v>3.7320000000000002</v>
      </c>
    </row>
    <row r="72" spans="1:3" x14ac:dyDescent="0.25">
      <c r="A72" s="8">
        <v>45756</v>
      </c>
      <c r="B72" s="9">
        <v>3.7410000000000001</v>
      </c>
      <c r="C72" s="9">
        <v>3.7480000000000002</v>
      </c>
    </row>
    <row r="73" spans="1:3" x14ac:dyDescent="0.25">
      <c r="A73" s="8">
        <v>45757</v>
      </c>
      <c r="B73" s="9">
        <v>3.7250000000000001</v>
      </c>
      <c r="C73" s="9">
        <v>3.734</v>
      </c>
    </row>
    <row r="74" spans="1:3" x14ac:dyDescent="0.25">
      <c r="A74" s="8">
        <v>45758</v>
      </c>
      <c r="B74" s="9">
        <v>3.7240000000000002</v>
      </c>
      <c r="C74" s="9">
        <v>3.7320000000000002</v>
      </c>
    </row>
    <row r="75" spans="1:3" x14ac:dyDescent="0.25">
      <c r="A75" s="8">
        <v>45761</v>
      </c>
      <c r="B75" s="9">
        <v>3.7240000000000002</v>
      </c>
      <c r="C75" s="9">
        <v>3.734</v>
      </c>
    </row>
    <row r="76" spans="1:3" x14ac:dyDescent="0.25">
      <c r="A76" s="8">
        <v>45762</v>
      </c>
      <c r="B76" s="9">
        <v>3.7389999999999999</v>
      </c>
      <c r="C76" s="9">
        <v>3.75</v>
      </c>
    </row>
    <row r="77" spans="1:3" x14ac:dyDescent="0.25">
      <c r="A77" s="8">
        <v>45763</v>
      </c>
      <c r="B77" s="9">
        <v>3.7280000000000002</v>
      </c>
      <c r="C77" s="9">
        <v>3.7370000000000001</v>
      </c>
    </row>
    <row r="78" spans="1:3" x14ac:dyDescent="0.25">
      <c r="A78" s="8">
        <v>45764</v>
      </c>
      <c r="B78" s="9">
        <v>3.7280000000000002</v>
      </c>
      <c r="C78" s="9">
        <v>3.7370000000000001</v>
      </c>
    </row>
    <row r="79" spans="1:3" x14ac:dyDescent="0.25">
      <c r="A79" s="8">
        <v>45765</v>
      </c>
      <c r="B79" s="9">
        <v>3.7280000000000002</v>
      </c>
      <c r="C79" s="9">
        <v>3.7370000000000001</v>
      </c>
    </row>
    <row r="80" spans="1:3" x14ac:dyDescent="0.25">
      <c r="A80" s="8">
        <v>45768</v>
      </c>
      <c r="B80" s="9">
        <v>3.7029999999999998</v>
      </c>
      <c r="C80" s="9">
        <v>3.7149999999999999</v>
      </c>
    </row>
    <row r="81" spans="1:3" x14ac:dyDescent="0.25">
      <c r="A81" s="8">
        <v>45769</v>
      </c>
      <c r="B81" s="9">
        <v>3.6890000000000001</v>
      </c>
      <c r="C81" s="9">
        <v>3.6989999999999998</v>
      </c>
    </row>
    <row r="82" spans="1:3" x14ac:dyDescent="0.25">
      <c r="A82" s="8">
        <v>45770</v>
      </c>
      <c r="B82" s="9">
        <v>3.6909999999999998</v>
      </c>
      <c r="C82" s="9">
        <v>3.7</v>
      </c>
    </row>
    <row r="83" spans="1:3" x14ac:dyDescent="0.25">
      <c r="A83" s="8">
        <v>45771</v>
      </c>
      <c r="B83" s="9">
        <v>3.6749999999999998</v>
      </c>
      <c r="C83" s="9">
        <v>3.6829999999999998</v>
      </c>
    </row>
    <row r="84" spans="1:3" x14ac:dyDescent="0.25">
      <c r="A84" s="8">
        <v>45772</v>
      </c>
      <c r="B84" s="9">
        <v>3.6619999999999999</v>
      </c>
      <c r="C84" s="9">
        <v>3.6720000000000002</v>
      </c>
    </row>
    <row r="85" spans="1:3" x14ac:dyDescent="0.25">
      <c r="A85" s="8">
        <v>45775</v>
      </c>
      <c r="B85" s="9">
        <v>3.6629999999999998</v>
      </c>
      <c r="C85" s="9">
        <v>3.6720000000000002</v>
      </c>
    </row>
    <row r="86" spans="1:3" x14ac:dyDescent="0.25">
      <c r="A86" s="8">
        <v>45776</v>
      </c>
      <c r="B86" s="9">
        <v>3.665</v>
      </c>
      <c r="C86" s="9">
        <v>3.673</v>
      </c>
    </row>
    <row r="87" spans="1:3" x14ac:dyDescent="0.25">
      <c r="A87" s="8">
        <v>45777</v>
      </c>
      <c r="B87" s="9">
        <v>3.6709999999999998</v>
      </c>
      <c r="C87" s="9">
        <v>3.6779999999999999</v>
      </c>
    </row>
    <row r="88" spans="1:3" x14ac:dyDescent="0.25">
      <c r="A88" s="8">
        <v>45778</v>
      </c>
      <c r="B88" s="9">
        <v>3.6709999999999998</v>
      </c>
      <c r="C88" s="9">
        <v>3.6779999999999999</v>
      </c>
    </row>
    <row r="89" spans="1:3" x14ac:dyDescent="0.25">
      <c r="A89" s="8">
        <v>45779</v>
      </c>
      <c r="B89" s="9">
        <v>3.6509999999999998</v>
      </c>
      <c r="C89" s="9">
        <v>3.665</v>
      </c>
    </row>
    <row r="90" spans="1:3" x14ac:dyDescent="0.25">
      <c r="A90" s="8">
        <v>45782</v>
      </c>
      <c r="B90" s="9">
        <v>3.65</v>
      </c>
      <c r="C90" s="9">
        <v>3.6619999999999999</v>
      </c>
    </row>
    <row r="91" spans="1:3" x14ac:dyDescent="0.25">
      <c r="A91" s="8">
        <v>45783</v>
      </c>
      <c r="B91" s="9">
        <v>3.653</v>
      </c>
      <c r="C91" s="9">
        <v>3.6629999999999998</v>
      </c>
    </row>
    <row r="92" spans="1:3" x14ac:dyDescent="0.25">
      <c r="A92" s="8">
        <v>45784</v>
      </c>
      <c r="B92" s="9">
        <v>3.65</v>
      </c>
      <c r="C92" s="9">
        <v>3.6579999999999999</v>
      </c>
    </row>
    <row r="93" spans="1:3" x14ac:dyDescent="0.25">
      <c r="A93" s="8">
        <v>45785</v>
      </c>
      <c r="B93" s="9">
        <v>3.637</v>
      </c>
      <c r="C93" s="9">
        <v>3.6459999999999999</v>
      </c>
    </row>
    <row r="94" spans="1:3" x14ac:dyDescent="0.25">
      <c r="A94" s="8">
        <v>45786</v>
      </c>
      <c r="B94" s="9">
        <v>3.6349999999999998</v>
      </c>
      <c r="C94" s="9">
        <v>3.645</v>
      </c>
    </row>
    <row r="95" spans="1:3" x14ac:dyDescent="0.25">
      <c r="A95" s="8">
        <v>45789</v>
      </c>
      <c r="B95" s="9">
        <v>3.6520000000000001</v>
      </c>
      <c r="C95" s="9">
        <v>3.6619999999999999</v>
      </c>
    </row>
    <row r="96" spans="1:3" x14ac:dyDescent="0.25">
      <c r="A96" s="8">
        <v>45790</v>
      </c>
      <c r="B96" s="9">
        <v>3.6509999999999998</v>
      </c>
      <c r="C96" s="9">
        <v>3.6589999999999998</v>
      </c>
    </row>
    <row r="97" spans="1:3" x14ac:dyDescent="0.25">
      <c r="A97" s="8">
        <v>45791</v>
      </c>
      <c r="B97" s="9">
        <v>3.6749999999999998</v>
      </c>
      <c r="C97" s="9">
        <v>3.6819999999999999</v>
      </c>
    </row>
    <row r="98" spans="1:3" x14ac:dyDescent="0.25">
      <c r="A98" s="8">
        <v>45792</v>
      </c>
      <c r="B98" s="9">
        <v>3.6760000000000002</v>
      </c>
      <c r="C98" s="9">
        <v>3.6859999999999999</v>
      </c>
    </row>
    <row r="99" spans="1:3" x14ac:dyDescent="0.25">
      <c r="A99" s="8">
        <v>45793</v>
      </c>
      <c r="B99" s="9">
        <v>3.69</v>
      </c>
      <c r="C99" s="9">
        <v>3.6960000000000002</v>
      </c>
    </row>
    <row r="100" spans="1:3" x14ac:dyDescent="0.25">
      <c r="A100" s="8">
        <v>45796</v>
      </c>
      <c r="B100" s="9">
        <v>3.6819999999999999</v>
      </c>
      <c r="C100" s="9">
        <v>3.6930000000000001</v>
      </c>
    </row>
    <row r="101" spans="1:3" x14ac:dyDescent="0.25">
      <c r="A101" s="8">
        <v>45797</v>
      </c>
      <c r="B101" s="9">
        <v>3.69</v>
      </c>
      <c r="C101" s="9">
        <v>3.6970000000000001</v>
      </c>
    </row>
    <row r="102" spans="1:3" x14ac:dyDescent="0.25">
      <c r="A102" s="8">
        <v>45798</v>
      </c>
      <c r="B102" s="9">
        <v>3.6760000000000002</v>
      </c>
      <c r="C102" s="9">
        <v>3.6829999999999998</v>
      </c>
    </row>
    <row r="103" spans="1:3" x14ac:dyDescent="0.25">
      <c r="A103" s="8">
        <v>45799</v>
      </c>
      <c r="B103" s="9">
        <v>3.66</v>
      </c>
      <c r="C103" s="9">
        <v>3.669</v>
      </c>
    </row>
    <row r="104" spans="1:3" x14ac:dyDescent="0.25">
      <c r="A104" s="8">
        <v>45800</v>
      </c>
      <c r="B104" s="9">
        <v>3.6539999999999999</v>
      </c>
      <c r="C104" s="9">
        <v>3.665</v>
      </c>
    </row>
    <row r="105" spans="1:3" x14ac:dyDescent="0.25">
      <c r="A105" s="8">
        <v>45803</v>
      </c>
      <c r="B105" s="9">
        <v>3.649</v>
      </c>
      <c r="C105" s="9">
        <v>3.665</v>
      </c>
    </row>
    <row r="106" spans="1:3" x14ac:dyDescent="0.25">
      <c r="A106" s="8">
        <v>45804</v>
      </c>
      <c r="B106" s="9">
        <v>3.6440000000000001</v>
      </c>
      <c r="C106" s="9">
        <v>3.65</v>
      </c>
    </row>
    <row r="107" spans="1:3" x14ac:dyDescent="0.25">
      <c r="A107" s="8">
        <v>45805</v>
      </c>
      <c r="B107" s="9">
        <v>3.6389999999999998</v>
      </c>
      <c r="C107" s="9">
        <v>3.6480000000000001</v>
      </c>
    </row>
    <row r="108" spans="1:3" x14ac:dyDescent="0.25">
      <c r="A108" s="8">
        <v>45806</v>
      </c>
      <c r="B108" s="9">
        <v>3.6269999999999998</v>
      </c>
      <c r="C108" s="9">
        <v>3.6379999999999999</v>
      </c>
    </row>
    <row r="109" spans="1:3" x14ac:dyDescent="0.25">
      <c r="A109" s="8">
        <v>45807</v>
      </c>
      <c r="B109" s="9">
        <v>3.621</v>
      </c>
      <c r="C109" s="9">
        <v>3.6320000000000001</v>
      </c>
    </row>
    <row r="110" spans="1:3" x14ac:dyDescent="0.25">
      <c r="A110" s="8">
        <v>45810</v>
      </c>
      <c r="B110" s="9">
        <v>3.609</v>
      </c>
      <c r="C110" s="9">
        <v>3.63</v>
      </c>
    </row>
    <row r="111" spans="1:3" x14ac:dyDescent="0.25">
      <c r="A111" s="8">
        <v>45811</v>
      </c>
      <c r="B111" s="9">
        <v>3.6179999999999999</v>
      </c>
      <c r="C111" s="9">
        <v>3.6280000000000001</v>
      </c>
    </row>
    <row r="112" spans="1:3" x14ac:dyDescent="0.25">
      <c r="A112" s="8">
        <v>45812</v>
      </c>
      <c r="B112" s="9">
        <v>3.61</v>
      </c>
      <c r="C112" s="9">
        <v>3.6179999999999999</v>
      </c>
    </row>
    <row r="113" spans="1:3" x14ac:dyDescent="0.25">
      <c r="A113" s="8">
        <v>45813</v>
      </c>
      <c r="B113" s="9">
        <v>3.6190000000000002</v>
      </c>
      <c r="C113" s="9">
        <v>3.6280000000000001</v>
      </c>
    </row>
    <row r="114" spans="1:3" x14ac:dyDescent="0.25">
      <c r="A114" s="8">
        <v>45814</v>
      </c>
      <c r="B114" s="9">
        <v>3.6419999999999999</v>
      </c>
      <c r="C114" s="9">
        <v>3.6509999999999998</v>
      </c>
    </row>
    <row r="115" spans="1:3" x14ac:dyDescent="0.25">
      <c r="A115" s="8">
        <v>45817</v>
      </c>
      <c r="B115" s="9">
        <v>3.637</v>
      </c>
      <c r="C115" s="9">
        <v>3.6539999999999999</v>
      </c>
    </row>
    <row r="116" spans="1:3" x14ac:dyDescent="0.25">
      <c r="A116" s="8">
        <v>45818</v>
      </c>
      <c r="B116" s="9">
        <v>3.6309999999999998</v>
      </c>
      <c r="C116" s="9">
        <v>3.64</v>
      </c>
    </row>
    <row r="117" spans="1:3" x14ac:dyDescent="0.25">
      <c r="A117" s="8">
        <v>45819</v>
      </c>
      <c r="B117" s="9">
        <v>3.6269999999999998</v>
      </c>
      <c r="C117" s="9">
        <v>3.6360000000000001</v>
      </c>
    </row>
    <row r="118" spans="1:3" x14ac:dyDescent="0.25">
      <c r="A118" s="8">
        <v>45820</v>
      </c>
      <c r="B118" s="9">
        <v>3.6160000000000001</v>
      </c>
      <c r="C118" s="9">
        <v>3.62</v>
      </c>
    </row>
    <row r="119" spans="1:3" x14ac:dyDescent="0.25">
      <c r="A119" s="8">
        <v>45821</v>
      </c>
      <c r="B119" s="9">
        <v>3.6110000000000002</v>
      </c>
      <c r="C119" s="9">
        <v>3.6179999999999999</v>
      </c>
    </row>
    <row r="120" spans="1:3" x14ac:dyDescent="0.25">
      <c r="A120" s="8">
        <v>45824</v>
      </c>
      <c r="B120" s="9">
        <v>3.6040000000000001</v>
      </c>
      <c r="C120" s="9">
        <v>3.6139999999999999</v>
      </c>
    </row>
    <row r="121" spans="1:3" x14ac:dyDescent="0.25">
      <c r="A121" s="8">
        <v>45825</v>
      </c>
      <c r="B121" s="9">
        <v>3.609</v>
      </c>
      <c r="C121" s="9">
        <v>3.62</v>
      </c>
    </row>
    <row r="122" spans="1:3" x14ac:dyDescent="0.25">
      <c r="A122" s="8">
        <v>45826</v>
      </c>
      <c r="B122" s="9">
        <v>3.5960000000000001</v>
      </c>
      <c r="C122" s="9">
        <v>3.6040000000000001</v>
      </c>
    </row>
    <row r="123" spans="1:3" x14ac:dyDescent="0.25">
      <c r="A123" s="8">
        <v>45827</v>
      </c>
      <c r="B123" s="9">
        <v>3.5819999999999999</v>
      </c>
      <c r="C123" s="9">
        <v>3.5990000000000002</v>
      </c>
    </row>
    <row r="124" spans="1:3" x14ac:dyDescent="0.25">
      <c r="A124" s="8">
        <v>45828</v>
      </c>
      <c r="B124" s="9">
        <v>3.5910000000000002</v>
      </c>
      <c r="C124" s="9">
        <v>3.6030000000000002</v>
      </c>
    </row>
    <row r="125" spans="1:3" x14ac:dyDescent="0.25">
      <c r="A125" s="8">
        <v>45831</v>
      </c>
      <c r="B125" s="9">
        <v>3.593</v>
      </c>
      <c r="C125" s="9">
        <v>3.6059999999999999</v>
      </c>
    </row>
    <row r="126" spans="1:3" x14ac:dyDescent="0.25">
      <c r="A126" s="8">
        <v>45832</v>
      </c>
      <c r="B126" s="9">
        <v>3.5710000000000002</v>
      </c>
      <c r="C126" s="9">
        <v>3.581</v>
      </c>
    </row>
    <row r="127" spans="1:3" x14ac:dyDescent="0.25">
      <c r="A127" s="8">
        <v>45833</v>
      </c>
      <c r="B127" s="9">
        <v>3.5659999999999998</v>
      </c>
      <c r="C127" s="9">
        <v>3.5760000000000001</v>
      </c>
    </row>
    <row r="128" spans="1:3" x14ac:dyDescent="0.25">
      <c r="A128" s="8">
        <v>45834</v>
      </c>
      <c r="B128" s="9">
        <v>3.56</v>
      </c>
      <c r="C128" s="9">
        <v>3.5720000000000001</v>
      </c>
    </row>
    <row r="129" spans="1:3" x14ac:dyDescent="0.25">
      <c r="A129" s="8">
        <v>45835</v>
      </c>
      <c r="B129" s="9">
        <v>3.5390000000000001</v>
      </c>
      <c r="C129" s="9">
        <v>3.552</v>
      </c>
    </row>
    <row r="130" spans="1:3" x14ac:dyDescent="0.25">
      <c r="A130" s="8">
        <v>45838</v>
      </c>
      <c r="B130" s="9">
        <v>3.5339999999999998</v>
      </c>
      <c r="C130" s="9">
        <v>3.5489999999999999</v>
      </c>
    </row>
    <row r="131" spans="1:3" x14ac:dyDescent="0.25">
      <c r="A131" s="8">
        <v>45839</v>
      </c>
      <c r="B131" s="9">
        <v>3.548</v>
      </c>
      <c r="C131" s="9">
        <v>3.556</v>
      </c>
    </row>
    <row r="132" spans="1:3" x14ac:dyDescent="0.25">
      <c r="A132" s="8">
        <v>45840</v>
      </c>
      <c r="B132" s="9">
        <v>3.55</v>
      </c>
      <c r="C132" s="9">
        <v>3.5590000000000002</v>
      </c>
    </row>
    <row r="133" spans="1:3" x14ac:dyDescent="0.25">
      <c r="A133" s="8">
        <v>45841</v>
      </c>
      <c r="B133" s="9">
        <v>3.5379999999999998</v>
      </c>
      <c r="C133" s="9">
        <v>3.5470000000000002</v>
      </c>
    </row>
    <row r="134" spans="1:3" x14ac:dyDescent="0.25">
      <c r="A134" s="8">
        <v>45842</v>
      </c>
      <c r="B134" s="9">
        <v>3.5409999999999999</v>
      </c>
      <c r="C134" s="9">
        <v>3.556</v>
      </c>
    </row>
    <row r="135" spans="1:3" x14ac:dyDescent="0.25">
      <c r="A135" s="8">
        <v>45845</v>
      </c>
      <c r="B135" s="9">
        <v>3.5529999999999999</v>
      </c>
      <c r="C135" s="9">
        <v>3.5630000000000002</v>
      </c>
    </row>
    <row r="136" spans="1:3" x14ac:dyDescent="0.25">
      <c r="A136" s="8">
        <v>45846</v>
      </c>
      <c r="B136" s="9">
        <v>3.5569999999999999</v>
      </c>
      <c r="C136" s="9">
        <v>3.5630000000000002</v>
      </c>
    </row>
    <row r="137" spans="1:3" x14ac:dyDescent="0.25">
      <c r="A137" s="8">
        <v>45847</v>
      </c>
      <c r="B137" s="9">
        <v>3.5459999999999998</v>
      </c>
      <c r="C137" s="9">
        <v>3.5550000000000002</v>
      </c>
    </row>
    <row r="138" spans="1:3" x14ac:dyDescent="0.25">
      <c r="A138" s="8">
        <v>45848</v>
      </c>
      <c r="B138" s="9">
        <v>3.548</v>
      </c>
      <c r="C138" s="9">
        <v>3.5569999999999999</v>
      </c>
    </row>
    <row r="139" spans="1:3" x14ac:dyDescent="0.25">
      <c r="A139" s="8">
        <v>45849</v>
      </c>
      <c r="B139" s="9">
        <v>3.5470000000000002</v>
      </c>
      <c r="C139" s="9">
        <v>3.5569999999999999</v>
      </c>
    </row>
    <row r="140" spans="1:3" x14ac:dyDescent="0.25">
      <c r="A140" s="8">
        <v>45852</v>
      </c>
      <c r="B140" s="9">
        <v>3.556</v>
      </c>
      <c r="C140" s="9">
        <v>3.569</v>
      </c>
    </row>
    <row r="141" spans="1:3" x14ac:dyDescent="0.25">
      <c r="A141" s="8">
        <v>45853</v>
      </c>
      <c r="B141" s="9">
        <v>3.5609999999999999</v>
      </c>
      <c r="C141" s="9">
        <v>3.569</v>
      </c>
    </row>
    <row r="142" spans="1:3" x14ac:dyDescent="0.25">
      <c r="A142" s="8">
        <v>45854</v>
      </c>
      <c r="B142" s="9">
        <v>3.548</v>
      </c>
      <c r="C142" s="9">
        <v>3.56</v>
      </c>
    </row>
    <row r="143" spans="1:3" x14ac:dyDescent="0.25">
      <c r="A143" s="8">
        <v>45855</v>
      </c>
      <c r="B143" s="9">
        <v>3.5489999999999999</v>
      </c>
      <c r="C143" s="9">
        <v>3.556</v>
      </c>
    </row>
    <row r="144" spans="1:3" x14ac:dyDescent="0.25">
      <c r="A144" s="8">
        <v>45856</v>
      </c>
      <c r="B144" s="9">
        <v>3.5579999999999998</v>
      </c>
      <c r="C144" s="9">
        <v>3.5680000000000001</v>
      </c>
    </row>
    <row r="145" spans="1:3" x14ac:dyDescent="0.25">
      <c r="A145" s="8">
        <v>45859</v>
      </c>
      <c r="B145" s="9">
        <v>3.5539999999999998</v>
      </c>
      <c r="C145" s="9">
        <v>3.5659999999999998</v>
      </c>
    </row>
    <row r="146" spans="1:3" x14ac:dyDescent="0.25">
      <c r="A146" s="8">
        <v>45860</v>
      </c>
      <c r="B146" s="9">
        <v>3.5539999999999998</v>
      </c>
      <c r="C146" s="9">
        <v>3.5609999999999999</v>
      </c>
    </row>
    <row r="147" spans="1:3" x14ac:dyDescent="0.25">
      <c r="A147" s="8">
        <v>45861</v>
      </c>
      <c r="B147" s="9">
        <v>3.5539999999999998</v>
      </c>
      <c r="C147" s="9">
        <v>3.5609999999999999</v>
      </c>
    </row>
    <row r="148" spans="1:3" x14ac:dyDescent="0.25">
      <c r="A148" s="8">
        <v>45862</v>
      </c>
      <c r="B148" s="9">
        <v>3.5419999999999998</v>
      </c>
      <c r="C148" s="9">
        <v>3.5550000000000002</v>
      </c>
    </row>
    <row r="149" spans="1:3" x14ac:dyDescent="0.25">
      <c r="A149" s="8">
        <v>45863</v>
      </c>
      <c r="B149" s="9">
        <v>3.54</v>
      </c>
      <c r="C149" s="9">
        <v>3.552</v>
      </c>
    </row>
    <row r="150" spans="1:3" x14ac:dyDescent="0.25">
      <c r="A150" s="8">
        <v>45866</v>
      </c>
      <c r="B150" s="9">
        <v>3.54</v>
      </c>
      <c r="C150" s="9">
        <v>3.552</v>
      </c>
    </row>
    <row r="151" spans="1:3" x14ac:dyDescent="0.25">
      <c r="A151" s="8">
        <v>45867</v>
      </c>
      <c r="B151" s="9">
        <v>3.54</v>
      </c>
      <c r="C151" s="9">
        <v>3.552</v>
      </c>
    </row>
    <row r="152" spans="1:3" x14ac:dyDescent="0.25">
      <c r="A152" s="8">
        <v>45868</v>
      </c>
      <c r="B152" s="9">
        <v>3.556</v>
      </c>
      <c r="C152" s="9">
        <v>3.57</v>
      </c>
    </row>
    <row r="153" spans="1:3" x14ac:dyDescent="0.25">
      <c r="A153" s="8">
        <v>45869</v>
      </c>
      <c r="B153" s="9">
        <v>3.5750000000000002</v>
      </c>
      <c r="C153" s="9">
        <v>3.5880000000000001</v>
      </c>
    </row>
    <row r="154" spans="1:3" x14ac:dyDescent="0.25">
      <c r="A154" s="8">
        <v>45870</v>
      </c>
      <c r="B154" s="9">
        <v>3.5750000000000002</v>
      </c>
      <c r="C154" s="9">
        <v>3.5880000000000001</v>
      </c>
    </row>
    <row r="155" spans="1:3" x14ac:dyDescent="0.25">
      <c r="A155" s="8">
        <v>45871</v>
      </c>
      <c r="B155" s="9">
        <v>3.5760000000000001</v>
      </c>
      <c r="C155" s="9">
        <v>3.5880000000000001</v>
      </c>
    </row>
    <row r="156" spans="1:3" x14ac:dyDescent="0.25">
      <c r="A156" s="8">
        <v>45872</v>
      </c>
      <c r="B156" s="9">
        <v>3.5760000000000001</v>
      </c>
      <c r="C156" s="9">
        <v>3.5880000000000001</v>
      </c>
    </row>
    <row r="157" spans="1:3" x14ac:dyDescent="0.25">
      <c r="A157" s="8">
        <v>45873</v>
      </c>
      <c r="B157" s="9">
        <v>3.5760000000000001</v>
      </c>
      <c r="C157" s="9">
        <v>3.5880000000000001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f549032-4865-4e0d-a2fc-0352d06fe2bf">
      <Terms xmlns="http://schemas.microsoft.com/office/infopath/2007/PartnerControls"/>
    </lcf76f155ced4ddcb4097134ff3c332f>
    <TaxCatchAll xmlns="951ee25e-9dca-43c9-b53d-0ef97cc4ddc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9CF4FD052B904192126259567E8B60" ma:contentTypeVersion="18" ma:contentTypeDescription="Create a new document." ma:contentTypeScope="" ma:versionID="de58d82b1db3d242ae063683bc69a3a4">
  <xsd:schema xmlns:xsd="http://www.w3.org/2001/XMLSchema" xmlns:xs="http://www.w3.org/2001/XMLSchema" xmlns:p="http://schemas.microsoft.com/office/2006/metadata/properties" xmlns:ns2="2f549032-4865-4e0d-a2fc-0352d06fe2bf" xmlns:ns3="951ee25e-9dca-43c9-b53d-0ef97cc4ddc2" targetNamespace="http://schemas.microsoft.com/office/2006/metadata/properties" ma:root="true" ma:fieldsID="957754e8897530ad2a2265d9a64658b6" ns2:_="" ns3:_="">
    <xsd:import namespace="2f549032-4865-4e0d-a2fc-0352d06fe2bf"/>
    <xsd:import namespace="951ee25e-9dca-43c9-b53d-0ef97cc4ddc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549032-4865-4e0d-a2fc-0352d06fe2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09c8d69-c7f0-4da1-a9f4-a6304ebc87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1ee25e-9dca-43c9-b53d-0ef97cc4dd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bfe6cbb3-4629-41c0-845a-663f58f2505e}" ma:internalName="TaxCatchAll" ma:showField="CatchAllData" ma:web="951ee25e-9dca-43c9-b53d-0ef97cc4dd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E18B9F0-2DDE-4840-91A0-8B9677988305}">
  <ds:schemaRefs>
    <ds:schemaRef ds:uri="http://schemas.microsoft.com/office/2006/metadata/properties"/>
    <ds:schemaRef ds:uri="http://schemas.microsoft.com/office/infopath/2007/PartnerControls"/>
    <ds:schemaRef ds:uri="2f549032-4865-4e0d-a2fc-0352d06fe2bf"/>
    <ds:schemaRef ds:uri="951ee25e-9dca-43c9-b53d-0ef97cc4ddc2"/>
  </ds:schemaRefs>
</ds:datastoreItem>
</file>

<file path=customXml/itemProps2.xml><?xml version="1.0" encoding="utf-8"?>
<ds:datastoreItem xmlns:ds="http://schemas.openxmlformats.org/officeDocument/2006/customXml" ds:itemID="{8B8B3374-CA53-444B-80DF-E7DCE74C9B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71088A-0B96-4511-B7F9-60AE0F5B8E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549032-4865-4e0d-a2fc-0352d06fe2bf"/>
    <ds:schemaRef ds:uri="951ee25e-9dca-43c9-b53d-0ef97cc4dd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PC</vt:lpstr>
      <vt:lpstr>CUENTAS</vt:lpstr>
      <vt:lpstr>BASE DE DATOS GASTOS</vt:lpstr>
      <vt:lpstr>TC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Yrving Leon</dc:creator>
  <cp:keywords/>
  <dc:description/>
  <cp:lastModifiedBy>Yrving Leon</cp:lastModifiedBy>
  <cp:revision/>
  <dcterms:created xsi:type="dcterms:W3CDTF">2014-06-25T23:58:41Z</dcterms:created>
  <dcterms:modified xsi:type="dcterms:W3CDTF">2025-08-04T22:16:07Z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0x0101004C9CF4FD052B904192126259567E8B60</vt:lpwstr>
  </property>
  <property fmtid="{D5CDD505-2E9C-101B-9397-08002B2CF9AE}" pid="3" name="MediaServiceImageTags">
    <vt:lpwstr/>
  </property>
</Properties>
</file>